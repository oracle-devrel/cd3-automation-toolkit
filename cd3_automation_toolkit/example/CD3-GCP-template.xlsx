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updateLinks="never" defaultThemeVersion="124226"/>
  <mc:AlternateContent xmlns:mc="http://schemas.openxmlformats.org/markup-compatibility/2006">
    <mc:Choice Requires="x15">
      <x15ac:absPath xmlns:x15ac="http://schemas.microsoft.com/office/spreadsheetml/2010/11/ac" url="/Users/ulaganathan/Documents/CD3_Developer/release-v2026.2.0/outputs/workbook-audit-v2026.2.0-20260731/candidate/"/>
    </mc:Choice>
  </mc:AlternateContent>
  <xr:revisionPtr revIDLastSave="0" documentId="13_ncr:1_{76B71B99-D2B3-1447-B575-FF8ACD449395}" xr6:coauthVersionLast="47" xr6:coauthVersionMax="47" xr10:uidLastSave="{00000000-0000-0000-0000-000000000000}"/>
  <bookViews>
    <workbookView xWindow="0" yWindow="680" windowWidth="34200" windowHeight="19560" tabRatio="1000" xr2:uid="{00000000-000D-0000-FFFF-FFFF00000000}"/>
  </bookViews>
  <sheets>
    <sheet name="Release-Info" sheetId="1" r:id="rId1"/>
    <sheet name="ADB-Azure" sheetId="56" state="hidden" r:id="rId2"/>
    <sheet name="ADB-GCP" sheetId="59" r:id="rId3"/>
    <sheet name="EXA-Infra-GCP" sheetId="57" r:id="rId4"/>
    <sheet name="EXA-VMClusters-GCP" sheetId="58" r:id="rId5"/>
    <sheet name="Database_Dropdown" sheetId="40" state="hidden" r:id="rId6"/>
    <sheet name="LB Rule Set Dropdown" sheetId="21" state="hidden" r:id="rId7"/>
    <sheet name="drop_down_rule_set" sheetId="31" state="hidden" r:id="rId8"/>
    <sheet name="drop_down_rule_comp" sheetId="32" state="hidden" r:id="rId9"/>
  </sheets>
  <externalReferences>
    <externalReference r:id="rId10"/>
    <externalReference r:id="rId11"/>
    <externalReference r:id="rId12"/>
    <externalReference r:id="rId13"/>
  </externalReferences>
  <definedNames>
    <definedName name="bm_shapes_drop" localSheetId="5">Database_Dropdown!#REF!</definedName>
    <definedName name="bm_shapes_drop" localSheetId="8">[1]Database_Dropdown!$F$2:$F$3</definedName>
    <definedName name="bm_shapes_drop" localSheetId="7">[2]Database_Dropdown!$F$2:$F$3</definedName>
    <definedName name="bm_shapes_drop">[3]Database_Dropdown!#REF!</definedName>
    <definedName name="char_set" localSheetId="5">Database_Dropdown!$H$2:$H$108</definedName>
    <definedName name="char_set" localSheetId="8">[1]Database_Dropdown!$I$2:$I$108</definedName>
    <definedName name="char_set" localSheetId="7">[2]Database_Dropdown!$I$2:$I$108</definedName>
    <definedName name="char_set">[3]Database_Dropdown!$H$2:$H$108</definedName>
    <definedName name="D3D1000">#REF!</definedName>
    <definedName name="db_sersion_drop" localSheetId="5">Database_Dropdown!$C$2:$C$14</definedName>
    <definedName name="db_sersion_drop" localSheetId="8">[1]Database_Dropdown!$C$2:$C$14</definedName>
    <definedName name="db_sersion_drop" localSheetId="7">[2]Database_Dropdown!$C$2:$C$14</definedName>
    <definedName name="db_sersion_drop">[3]Database_Dropdown!$C$2:$C$14</definedName>
    <definedName name="exa_shapes_drop" localSheetId="5">Database_Dropdown!$E$2:$E$11</definedName>
    <definedName name="exa_shapes_drop" localSheetId="8">[1]Database_Dropdown!$E$2:$E$11</definedName>
    <definedName name="exa_shapes_drop" localSheetId="7">[2]Database_Dropdown!$E$2:$E$11</definedName>
    <definedName name="exa_shapes_drop">[3]Database_Dropdown!$E$2:$E$11</definedName>
    <definedName name="Header_Size" localSheetId="5">'LB Rule Set Dropdown'!$F$2:$F$6</definedName>
    <definedName name="Header_Size" localSheetId="8">'[1]Rule Set Dropdown'!$F$2:$F$6</definedName>
    <definedName name="Header_Size" localSheetId="7">#REF!</definedName>
    <definedName name="Header_Size">'LB Rule Set Dropdown'!$F$2:$F$6</definedName>
    <definedName name="license_type_drop" localSheetId="5">Database_Dropdown!$F$2:$F$3</definedName>
    <definedName name="license_type_drop" localSheetId="8">[1]Database_Dropdown!$G$2:$G$3</definedName>
    <definedName name="license_type_drop" localSheetId="7">[2]Database_Dropdown!$G$2:$G$3</definedName>
    <definedName name="license_type_drop">[3]Database_Dropdown!$F$2:$F$3</definedName>
    <definedName name="nchar_set" localSheetId="5">Database_Dropdown!$G$2:$G$3</definedName>
    <definedName name="nchar_set" localSheetId="8">[1]Database_Dropdown!$H$2:$H$3</definedName>
    <definedName name="nchar_set" localSheetId="7">[2]Database_Dropdown!$H$2:$H$3</definedName>
    <definedName name="nchar_set">[3]Database_Dropdown!$G$2:$G$3</definedName>
    <definedName name="Response_Code" localSheetId="5">'LB Rule Set Dropdown'!$E$2:$E$7</definedName>
    <definedName name="Response_Code" localSheetId="8">'[1]Rule Set Dropdown'!$E$2:$E$7</definedName>
    <definedName name="Response_Code" localSheetId="7">#REF!</definedName>
    <definedName name="Response_Code">'LB Rule Set Dropdown'!$E$2:$E$7</definedName>
    <definedName name="Shape_Option" localSheetId="5">#REF!</definedName>
    <definedName name="Shape_Option" localSheetId="8">#REF!</definedName>
    <definedName name="Shape_Option" localSheetId="7">#REF!</definedName>
    <definedName name="Shape_Option" localSheetId="4">#REF!</definedName>
    <definedName name="Shape_Option">#REF!</definedName>
    <definedName name="Shape_Option_DB">[4]Database!$B$10:$J$10</definedName>
    <definedName name="software_drop" localSheetId="5">Database_Dropdown!$B$2:$B$5</definedName>
    <definedName name="software_drop" localSheetId="8">[1]Database_Dropdown!$B$2:$B$5</definedName>
    <definedName name="software_drop" localSheetId="7">[2]Database_Dropdown!$B$2:$B$5</definedName>
    <definedName name="software_drop">[3]Database_Dropdown!$B$2:$B$5</definedName>
    <definedName name="VM_Shapes" localSheetId="5">Database_Dropdown!$A$2:$A$12</definedName>
    <definedName name="VM_Shapes">#REF!</definedName>
    <definedName name="VM_shapes_drop" localSheetId="5">Database_Dropdown!$A$2:$A$7</definedName>
    <definedName name="VM_shapes_drop" localSheetId="8">[1]Database_Dropdown!$A$2:$A$7</definedName>
    <definedName name="VM_shapes_drop" localSheetId="7">[2]Database_Dropdown!$A$2:$A$7</definedName>
    <definedName name="VM_shapes_drop">[3]Database_Dropdown!$A$2:$A$7</definedName>
    <definedName name="workload_drop" localSheetId="5">Database_Dropdown!$D$2:$D$3</definedName>
    <definedName name="workload_drop" localSheetId="8">[1]Database_Dropdown!$D$2:$D$3</definedName>
    <definedName name="workload_drop" localSheetId="7">[2]Database_Dropdown!$D$2:$D$3</definedName>
    <definedName name="workload_drop">[3]Database_Dropdown!$D$2:$D$3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31" l="1"/>
  <c r="C2" i="32"/>
  <c r="G2" i="31"/>
  <c r="E6" i="31" a="1"/>
  <c r="F2" i="31"/>
  <c r="AU6" i="31"/>
  <c r="AU7" i="31"/>
  <c r="F7" i="31"/>
  <c r="AU14" i="31"/>
  <c r="F9" i="31"/>
  <c r="E8" i="31" a="1"/>
  <c r="E13" i="31" a="1"/>
  <c r="E14" i="31" a="1"/>
  <c r="E4" i="31" a="1"/>
  <c r="F5" i="31"/>
  <c r="E3" i="31" a="1"/>
  <c r="F6" i="31"/>
  <c r="E2" i="31" a="1"/>
  <c r="AU3" i="31"/>
  <c r="AU4" i="31"/>
  <c r="F8" i="31"/>
  <c r="F12" i="31"/>
  <c r="E5" i="31" a="1"/>
  <c r="F11" i="31"/>
  <c r="F13" i="31"/>
  <c r="F10" i="31"/>
  <c r="AU2" i="31"/>
  <c r="E11" i="31" a="1"/>
  <c r="AU8" i="31"/>
  <c r="E7" i="31" a="1"/>
  <c r="AU11" i="31"/>
  <c r="AU12" i="31"/>
  <c r="AU10" i="31"/>
  <c r="F4" i="31"/>
  <c r="AU5" i="31"/>
  <c r="E9" i="31" a="1"/>
  <c r="E10" i="31" a="1"/>
  <c r="AU13" i="31"/>
  <c r="F3" i="31"/>
  <c r="E12" i="31" a="1"/>
  <c r="AU9" i="31"/>
  <c r="F14" i="31"/>
  <c r="B19" i="32" a="1"/>
  <c r="B22" i="32" a="1"/>
  <c r="B21" i="32" a="1"/>
  <c r="B44" i="32" a="1"/>
  <c r="B35" i="32" a="1"/>
  <c r="B39" i="32" a="1"/>
  <c r="B6" i="32" a="1"/>
  <c r="B46" i="32" a="1"/>
  <c r="B5" i="32" a="1"/>
  <c r="B17" i="32" a="1"/>
  <c r="B16" i="32" a="1"/>
  <c r="B8" i="32" a="1"/>
  <c r="B37" i="32" a="1"/>
  <c r="B13" i="32" a="1"/>
  <c r="B48" i="32" a="1"/>
  <c r="B28" i="32" a="1"/>
  <c r="B49" i="32" a="1"/>
  <c r="B32" i="32" a="1"/>
  <c r="B26" i="32" a="1"/>
  <c r="B45" i="32" a="1"/>
  <c r="B25" i="32" a="1"/>
  <c r="B7" i="32" a="1"/>
  <c r="B20" i="32" a="1"/>
  <c r="B23" i="32" a="1"/>
  <c r="B10" i="32" a="1"/>
  <c r="B40" i="32" a="1"/>
  <c r="B31" i="32" a="1"/>
  <c r="B41" i="32" a="1"/>
  <c r="B27" i="32" a="1"/>
  <c r="B34" i="32" a="1"/>
  <c r="B38" i="32" a="1"/>
  <c r="B33" i="32" a="1"/>
  <c r="B43" i="32" a="1"/>
  <c r="B24" i="32" a="1"/>
  <c r="B4" i="32" a="1"/>
  <c r="B9" i="32" a="1"/>
  <c r="B30" i="32" a="1"/>
  <c r="B14" i="32" a="1"/>
  <c r="B50" i="32" a="1"/>
  <c r="B15" i="32" a="1"/>
  <c r="B12" i="32" a="1"/>
  <c r="B47" i="32" a="1"/>
  <c r="B11" i="32" a="1"/>
  <c r="B29" i="32" a="1"/>
  <c r="B18" i="32" a="1"/>
  <c r="B3" i="32" a="1"/>
  <c r="B42" i="32" a="1"/>
  <c r="B36" i="32" a="1"/>
  <c r="E15" i="31" a="1"/>
  <c r="E21" i="31" a="1"/>
  <c r="E27" i="31" a="1"/>
  <c r="E28" i="31" a="1"/>
  <c r="E17" i="31" a="1"/>
  <c r="E22" i="31" a="1"/>
  <c r="E18" i="31" a="1"/>
  <c r="E23" i="31" a="1"/>
  <c r="E24" i="31" a="1"/>
  <c r="E19" i="31" a="1"/>
  <c r="E25" i="31" a="1"/>
  <c r="E20" i="31" a="1"/>
  <c r="E26" i="31" a="1"/>
  <c r="E16" i="31" a="1"/>
  <c r="F16" i="31"/>
  <c r="F20" i="31"/>
  <c r="AU23" i="31"/>
  <c r="AU31" i="31"/>
  <c r="AU40" i="31"/>
  <c r="AU48" i="31"/>
  <c r="AU56" i="31"/>
  <c r="AU64" i="31"/>
  <c r="AU72" i="31"/>
  <c r="AU80" i="31"/>
  <c r="AU88" i="31"/>
  <c r="AU96" i="31"/>
  <c r="AU104" i="31"/>
  <c r="AU112" i="31"/>
  <c r="AU120" i="31"/>
  <c r="AU128" i="31"/>
  <c r="AU136" i="31"/>
  <c r="AU144" i="31"/>
  <c r="AU152" i="31"/>
  <c r="AU160" i="31"/>
  <c r="AU168" i="31"/>
  <c r="AU176" i="31"/>
  <c r="AU184" i="31"/>
  <c r="AU192" i="31"/>
  <c r="AU200" i="31"/>
  <c r="AU24" i="31"/>
  <c r="AU32" i="31"/>
  <c r="AU41" i="31"/>
  <c r="AU49" i="31"/>
  <c r="AU57" i="31"/>
  <c r="AU65" i="31"/>
  <c r="AU73" i="31"/>
  <c r="AU81" i="31"/>
  <c r="AU89" i="31"/>
  <c r="AU97" i="31"/>
  <c r="AU105" i="31"/>
  <c r="AU113" i="31"/>
  <c r="AU121" i="31"/>
  <c r="AU129" i="31"/>
  <c r="AU137" i="31"/>
  <c r="AU145" i="31"/>
  <c r="AU153" i="31"/>
  <c r="AU161" i="31"/>
  <c r="AU169" i="31"/>
  <c r="AU177" i="31"/>
  <c r="AU185" i="31"/>
  <c r="AU193" i="31"/>
  <c r="AU201" i="31"/>
  <c r="AU17" i="31"/>
  <c r="AU25" i="31"/>
  <c r="AU33" i="31"/>
  <c r="AU42" i="31"/>
  <c r="AU50" i="31"/>
  <c r="AU58" i="31"/>
  <c r="AU66" i="31"/>
  <c r="AU74" i="31"/>
  <c r="AU82" i="31"/>
  <c r="AU90" i="31"/>
  <c r="AU106" i="31"/>
  <c r="AU114" i="31"/>
  <c r="AU122" i="31"/>
  <c r="AU138" i="31"/>
  <c r="AU146" i="31"/>
  <c r="AU162" i="31"/>
  <c r="AU170" i="31"/>
  <c r="AU186" i="31"/>
  <c r="AU194" i="31"/>
  <c r="AU26" i="31"/>
  <c r="AU34" i="31"/>
  <c r="AU43" i="31"/>
  <c r="AU59" i="31"/>
  <c r="AU75" i="31"/>
  <c r="AU91" i="31"/>
  <c r="AU107" i="31"/>
  <c r="AU123" i="31"/>
  <c r="AU139" i="31"/>
  <c r="AU155" i="31"/>
  <c r="AU171" i="31"/>
  <c r="AU187" i="31"/>
  <c r="AU19" i="31"/>
  <c r="AU44" i="31"/>
  <c r="AU60" i="31"/>
  <c r="AU76" i="31"/>
  <c r="AU92" i="31"/>
  <c r="AU108" i="31"/>
  <c r="AU124" i="31"/>
  <c r="AU16" i="31"/>
  <c r="AU98" i="31"/>
  <c r="AU130" i="31"/>
  <c r="AU154" i="31"/>
  <c r="AU178" i="31"/>
  <c r="AU18" i="31"/>
  <c r="AU51" i="31"/>
  <c r="AU67" i="31"/>
  <c r="AU83" i="31"/>
  <c r="AU99" i="31"/>
  <c r="AU115" i="31"/>
  <c r="AU131" i="31"/>
  <c r="AU147" i="31"/>
  <c r="AU163" i="31"/>
  <c r="AU179" i="31"/>
  <c r="AU195" i="31"/>
  <c r="AU27" i="31"/>
  <c r="AU35" i="31"/>
  <c r="AU52" i="31"/>
  <c r="AU68" i="31"/>
  <c r="AU84" i="31"/>
  <c r="AU100" i="31"/>
  <c r="AU116" i="31"/>
  <c r="AU132" i="31"/>
  <c r="AU20" i="31"/>
  <c r="AU28" i="31"/>
  <c r="AU37" i="31"/>
  <c r="AU45" i="31"/>
  <c r="AU53" i="31"/>
  <c r="AU61" i="31"/>
  <c r="AU69" i="31"/>
  <c r="AU77" i="31"/>
  <c r="AU85" i="31"/>
  <c r="AU93" i="31"/>
  <c r="AU101" i="31"/>
  <c r="AU109" i="31"/>
  <c r="AU117" i="31"/>
  <c r="AU125" i="31"/>
  <c r="AU133" i="31"/>
  <c r="AU141" i="31"/>
  <c r="AU149" i="31"/>
  <c r="AU157" i="31"/>
  <c r="AU165" i="31"/>
  <c r="AU173" i="31"/>
  <c r="AU181" i="31"/>
  <c r="AU189" i="31"/>
  <c r="AU197" i="31"/>
  <c r="AU21" i="31"/>
  <c r="AU29" i="31"/>
  <c r="AU38" i="31"/>
  <c r="AU46" i="31"/>
  <c r="AU54" i="31"/>
  <c r="AU62" i="31"/>
  <c r="AU70" i="31"/>
  <c r="AU78" i="31"/>
  <c r="AU86" i="31"/>
  <c r="AU94" i="31"/>
  <c r="AU102" i="31"/>
  <c r="AU110" i="31"/>
  <c r="AU118" i="31"/>
  <c r="AU126" i="31"/>
  <c r="AU134" i="31"/>
  <c r="AU142" i="31"/>
  <c r="AU150" i="31"/>
  <c r="AU158" i="31"/>
  <c r="AU166" i="31"/>
  <c r="AU174" i="31"/>
  <c r="AU182" i="31"/>
  <c r="AU22" i="31"/>
  <c r="AU87" i="31"/>
  <c r="AU143" i="31"/>
  <c r="AU175" i="31"/>
  <c r="AU199" i="31"/>
  <c r="AU30" i="31"/>
  <c r="AU95" i="31"/>
  <c r="AU148" i="31"/>
  <c r="AU180" i="31"/>
  <c r="AU39" i="31"/>
  <c r="AU103" i="31"/>
  <c r="AU151" i="31"/>
  <c r="AU183" i="31"/>
  <c r="AU47" i="31"/>
  <c r="AU156" i="31"/>
  <c r="AU188" i="31"/>
  <c r="AU119" i="31"/>
  <c r="AU190" i="31"/>
  <c r="AU127" i="31"/>
  <c r="AU191" i="31"/>
  <c r="AU135" i="31"/>
  <c r="AU196" i="31"/>
  <c r="AU140" i="31"/>
  <c r="AU198" i="31"/>
  <c r="AU111" i="31"/>
  <c r="AU55" i="31"/>
  <c r="AU159" i="31"/>
  <c r="AU63" i="31"/>
  <c r="AU164" i="31"/>
  <c r="AU71" i="31"/>
  <c r="AU167" i="31"/>
  <c r="AU79" i="31"/>
  <c r="AU172" i="31"/>
  <c r="F26" i="31"/>
  <c r="F24" i="31"/>
  <c r="F177" i="31"/>
  <c r="F56" i="31"/>
  <c r="F152" i="31"/>
  <c r="F116" i="31"/>
  <c r="F84" i="31"/>
  <c r="F43" i="31"/>
  <c r="F195" i="31"/>
  <c r="F169" i="31"/>
  <c r="F144" i="31"/>
  <c r="F115" i="31"/>
  <c r="F73" i="31"/>
  <c r="F40" i="31"/>
  <c r="F193" i="31"/>
  <c r="F168" i="31"/>
  <c r="F143" i="31"/>
  <c r="F113" i="31"/>
  <c r="F72" i="31"/>
  <c r="F30" i="31"/>
  <c r="F192" i="31"/>
  <c r="F167" i="31"/>
  <c r="F140" i="31"/>
  <c r="F103" i="31"/>
  <c r="F71" i="31"/>
  <c r="F191" i="31"/>
  <c r="F164" i="31"/>
  <c r="F131" i="31"/>
  <c r="F100" i="31"/>
  <c r="F59" i="31"/>
  <c r="F183" i="31"/>
  <c r="F156" i="31"/>
  <c r="F129" i="31"/>
  <c r="F99" i="31"/>
  <c r="F57" i="31"/>
  <c r="F180" i="31"/>
  <c r="F155" i="31"/>
  <c r="F128" i="31"/>
  <c r="F88" i="31"/>
  <c r="F179" i="31"/>
  <c r="F153" i="31"/>
  <c r="F127" i="31"/>
  <c r="F87" i="31"/>
  <c r="F44" i="31"/>
  <c r="F68" i="31"/>
  <c r="F39" i="31"/>
  <c r="F23" i="31"/>
  <c r="F151" i="31"/>
  <c r="F65" i="31"/>
  <c r="F51" i="31"/>
  <c r="F35" i="31"/>
  <c r="F19" i="31"/>
  <c r="F139" i="31"/>
  <c r="F97" i="31"/>
  <c r="F49" i="31"/>
  <c r="F112" i="31"/>
  <c r="F83" i="31"/>
  <c r="F52" i="31"/>
  <c r="F201" i="31"/>
  <c r="F188" i="31"/>
  <c r="F176" i="31"/>
  <c r="F163" i="31"/>
  <c r="F137" i="31"/>
  <c r="F124" i="31"/>
  <c r="F111" i="31"/>
  <c r="F96" i="31"/>
  <c r="F81" i="31"/>
  <c r="F200" i="31"/>
  <c r="F187" i="31"/>
  <c r="F175" i="31"/>
  <c r="F161" i="31"/>
  <c r="F148" i="31"/>
  <c r="F136" i="31"/>
  <c r="F123" i="31"/>
  <c r="F108" i="31"/>
  <c r="F95" i="31"/>
  <c r="F79" i="31"/>
  <c r="F64" i="31"/>
  <c r="F34" i="31"/>
  <c r="F18" i="31"/>
  <c r="F199" i="31"/>
  <c r="F185" i="31"/>
  <c r="F172" i="31"/>
  <c r="F160" i="31"/>
  <c r="F147" i="31"/>
  <c r="F135" i="31"/>
  <c r="F121" i="31"/>
  <c r="F107" i="31"/>
  <c r="F91" i="31"/>
  <c r="F76" i="31"/>
  <c r="F63" i="31"/>
  <c r="F48" i="31"/>
  <c r="F32" i="31"/>
  <c r="F196" i="31"/>
  <c r="F184" i="31"/>
  <c r="F171" i="31"/>
  <c r="F159" i="31"/>
  <c r="F145" i="31"/>
  <c r="F132" i="31"/>
  <c r="F120" i="31"/>
  <c r="F104" i="31"/>
  <c r="F89" i="31"/>
  <c r="F75" i="31"/>
  <c r="F60" i="31"/>
  <c r="F47" i="31"/>
  <c r="F31" i="31"/>
  <c r="F119" i="31"/>
  <c r="F105" i="31"/>
  <c r="F92" i="31"/>
  <c r="F80" i="31"/>
  <c r="F67" i="31"/>
  <c r="F55" i="31"/>
  <c r="F41" i="31"/>
  <c r="F27" i="31"/>
  <c r="F202" i="31"/>
  <c r="F194" i="31"/>
  <c r="F186" i="31"/>
  <c r="F178" i="31"/>
  <c r="F170" i="31"/>
  <c r="F162" i="31"/>
  <c r="F154" i="31"/>
  <c r="F146" i="31"/>
  <c r="F138" i="31"/>
  <c r="F130" i="31"/>
  <c r="F122" i="31"/>
  <c r="F114" i="31"/>
  <c r="F106" i="31"/>
  <c r="F98" i="31"/>
  <c r="F90" i="31"/>
  <c r="F82" i="31"/>
  <c r="F74" i="31"/>
  <c r="F66" i="31"/>
  <c r="F58" i="31"/>
  <c r="F50" i="31"/>
  <c r="F42" i="31"/>
  <c r="F33" i="31"/>
  <c r="F25" i="31"/>
  <c r="F22" i="31"/>
  <c r="F198" i="31"/>
  <c r="F190" i="31"/>
  <c r="F182" i="31"/>
  <c r="F174" i="31"/>
  <c r="F166" i="31"/>
  <c r="F158" i="31"/>
  <c r="F150" i="31"/>
  <c r="F142" i="31"/>
  <c r="F134" i="31"/>
  <c r="F126" i="31"/>
  <c r="F118" i="31"/>
  <c r="F110" i="31"/>
  <c r="F102" i="31"/>
  <c r="F94" i="31"/>
  <c r="F86" i="31"/>
  <c r="F78" i="31"/>
  <c r="F70" i="31"/>
  <c r="F62" i="31"/>
  <c r="F54" i="31"/>
  <c r="F46" i="31"/>
  <c r="F38" i="31"/>
  <c r="F29" i="31"/>
  <c r="F21" i="31"/>
  <c r="F197" i="31"/>
  <c r="F189" i="31"/>
  <c r="F181" i="31"/>
  <c r="F173" i="31"/>
  <c r="F165" i="31"/>
  <c r="F157" i="31"/>
  <c r="F149" i="31"/>
  <c r="F141" i="31"/>
  <c r="F133" i="31"/>
  <c r="F125" i="31"/>
  <c r="F117" i="31"/>
  <c r="F109" i="31"/>
  <c r="F101" i="31"/>
  <c r="F93" i="31"/>
  <c r="F85" i="31"/>
  <c r="F77" i="31"/>
  <c r="F69" i="31"/>
  <c r="F61" i="31"/>
  <c r="F53" i="31"/>
  <c r="F45" i="31"/>
  <c r="F37" i="31"/>
  <c r="F28" i="31"/>
  <c r="F17" i="31"/>
  <c r="F15" i="31"/>
  <c r="AU15" i="31"/>
  <c r="D2" i="32" a="1"/>
  <c r="C3" i="32" s="1"/>
  <c r="P31" i="31" a="1"/>
  <c r="R27" i="31" a="1"/>
  <c r="P7" i="31" a="1"/>
  <c r="P14" i="31" a="1"/>
  <c r="Y8" i="31" a="1"/>
  <c r="Y35" i="31" a="1"/>
  <c r="Y16" i="31" a="1"/>
  <c r="P10" i="31" a="1"/>
  <c r="R3" i="31" a="1"/>
  <c r="R33" i="31" a="1"/>
  <c r="Z7" i="31" a="1"/>
  <c r="C5" i="31" a="1"/>
  <c r="Z42" i="31" a="1"/>
  <c r="Y29" i="31" a="1"/>
  <c r="R21" i="31" a="1"/>
  <c r="B20" i="31" a="1"/>
  <c r="B35" i="31" a="1"/>
  <c r="Z6" i="31" a="1"/>
  <c r="R8" i="31" a="1"/>
  <c r="P19" i="31" a="1"/>
  <c r="C49" i="31" a="1"/>
  <c r="C9" i="31" a="1"/>
  <c r="P28" i="31" a="1"/>
  <c r="B19" i="31" a="1"/>
  <c r="C38" i="31" a="1"/>
  <c r="P8" i="31" a="1"/>
  <c r="P32" i="31" a="1"/>
  <c r="B27" i="31" a="1"/>
  <c r="Y49" i="31" a="1"/>
  <c r="C7" i="31" a="1"/>
  <c r="B42" i="31" a="1"/>
  <c r="R20" i="31" a="1"/>
  <c r="Y41" i="31" a="1"/>
  <c r="R35" i="31" a="1"/>
  <c r="Y6" i="31" a="1"/>
  <c r="Y20" i="31" a="1"/>
  <c r="P9" i="31" a="1"/>
  <c r="R32" i="31" a="1"/>
  <c r="P12" i="31" a="1"/>
  <c r="C33" i="31" a="1"/>
  <c r="Y42" i="31" a="1"/>
  <c r="P16" i="31" a="1"/>
  <c r="P3" i="31" a="1"/>
  <c r="P47" i="31" a="1"/>
  <c r="Y38" i="31" a="1"/>
  <c r="C37" i="31" a="1"/>
  <c r="Z3" i="31" a="1"/>
  <c r="C30" i="31" a="1"/>
  <c r="Y7" i="31" a="1"/>
  <c r="Z13" i="31" a="1"/>
  <c r="P18" i="31" a="1"/>
  <c r="Y25" i="31" a="1"/>
  <c r="B46" i="31" a="1"/>
  <c r="C35" i="31" a="1"/>
  <c r="B49" i="31" a="1"/>
  <c r="R48" i="31" a="1"/>
  <c r="B43" i="31" a="1"/>
  <c r="B34" i="31" a="1"/>
  <c r="C50" i="31" a="1"/>
  <c r="Y32" i="31" a="1"/>
  <c r="Y43" i="31" a="1"/>
  <c r="C22" i="31" a="1"/>
  <c r="Y14" i="31" a="1"/>
  <c r="Z11" i="31" a="1"/>
  <c r="Y15" i="31" a="1"/>
  <c r="C48" i="31" a="1"/>
  <c r="D2" i="31" a="1"/>
  <c r="P11" i="31" a="1"/>
  <c r="Y30" i="31" a="1"/>
  <c r="P2" i="31" a="1"/>
  <c r="B23" i="31" a="1"/>
  <c r="C3" i="31" a="1"/>
  <c r="B22" i="31" a="1"/>
  <c r="B45" i="31" a="1"/>
  <c r="R23" i="31" a="1"/>
  <c r="Z12" i="31" a="1"/>
  <c r="C8" i="31" a="1"/>
  <c r="R22" i="31" a="1"/>
  <c r="P37" i="31" a="1"/>
  <c r="C12" i="31" a="1"/>
  <c r="P30" i="31" a="1"/>
  <c r="C45" i="31" a="1"/>
  <c r="R30" i="31" a="1"/>
  <c r="Y22" i="31" a="1"/>
  <c r="Y37" i="31" a="1"/>
  <c r="R29" i="31" a="1"/>
  <c r="B48" i="31" a="1"/>
  <c r="Y44" i="31" a="1"/>
  <c r="P41" i="31" a="1"/>
  <c r="P40" i="31" a="1"/>
  <c r="C28" i="31" a="1"/>
  <c r="Z45" i="31" a="1"/>
  <c r="P21" i="31" a="1"/>
  <c r="P45" i="31" a="1"/>
  <c r="C47" i="31" a="1"/>
  <c r="B11" i="31" a="1"/>
  <c r="Y19" i="31" a="1"/>
  <c r="Z41" i="31" a="1"/>
  <c r="Z17" i="31" a="1"/>
  <c r="R14" i="31" a="1"/>
  <c r="B7" i="31" a="1"/>
  <c r="R34" i="31" a="1"/>
  <c r="P27" i="31" a="1"/>
  <c r="R42" i="31" a="1"/>
  <c r="P6" i="31" a="1"/>
  <c r="P38" i="31" a="1"/>
  <c r="I2" i="31" a="1"/>
  <c r="R50" i="31" a="1"/>
  <c r="C31" i="31" a="1"/>
  <c r="R37" i="31" a="1"/>
  <c r="C46" i="31" a="1"/>
  <c r="P13" i="31" a="1"/>
  <c r="C21" i="31" a="1"/>
  <c r="P39" i="31" a="1"/>
  <c r="AT2" i="31" a="1"/>
  <c r="Y18" i="31" a="1"/>
  <c r="R7" i="31" a="1"/>
  <c r="P22" i="31" a="1"/>
  <c r="R15" i="31" a="1"/>
  <c r="R10" i="31" a="1"/>
  <c r="Y2" i="31" a="1"/>
  <c r="B38" i="31" a="1"/>
  <c r="B29" i="31" a="1"/>
  <c r="C18" i="31" a="1"/>
  <c r="C10" i="31" a="1"/>
  <c r="R5" i="31" a="1"/>
  <c r="C6" i="31" a="1"/>
  <c r="B12" i="31" a="1"/>
  <c r="P17" i="31" a="1"/>
  <c r="R49" i="31" a="1"/>
  <c r="P34" i="31" a="1"/>
  <c r="B26" i="31" a="1"/>
  <c r="C34" i="31" a="1"/>
  <c r="Y24" i="31" a="1"/>
  <c r="B41" i="31" a="1"/>
  <c r="B3" i="31" a="1"/>
  <c r="B10" i="31" a="1"/>
  <c r="Y45" i="31" a="1"/>
  <c r="Z49" i="31" a="1"/>
  <c r="R9" i="31" a="1"/>
  <c r="C23" i="31" a="1"/>
  <c r="P50" i="31" a="1"/>
  <c r="R41" i="31" a="1"/>
  <c r="Y9" i="31" a="1"/>
  <c r="B9" i="31" a="1"/>
  <c r="Z25" i="31" a="1"/>
  <c r="P4" i="31" a="1"/>
  <c r="Z22" i="31" a="1"/>
  <c r="Z8" i="31" a="1"/>
  <c r="R16" i="31" a="1"/>
  <c r="J2" i="31" a="1"/>
  <c r="C25" i="31" a="1"/>
  <c r="B32" i="31" a="1"/>
  <c r="Y39" i="31" a="1"/>
  <c r="P29" i="31" a="1"/>
  <c r="Z5" i="31" a="1"/>
  <c r="Y4" i="31" a="1"/>
  <c r="Y31" i="31" a="1"/>
  <c r="P49" i="31" a="1"/>
  <c r="B47" i="31" a="1"/>
  <c r="P24" i="31" a="1"/>
  <c r="B31" i="31" a="1"/>
  <c r="C2" i="31" a="1"/>
  <c r="Z15" i="31" a="1"/>
  <c r="Z46" i="31" a="1"/>
  <c r="C39" i="31" a="1"/>
  <c r="B15" i="31" a="1"/>
  <c r="B5" i="31" a="1"/>
  <c r="R2" i="31" a="1"/>
  <c r="Z32" i="31" a="1"/>
  <c r="R6" i="31" a="1"/>
  <c r="B44" i="31" a="1"/>
  <c r="B24" i="31" a="1"/>
  <c r="B17" i="31" a="1"/>
  <c r="Z47" i="31" a="1"/>
  <c r="P42" i="31" a="1"/>
  <c r="Y12" i="31" a="1"/>
  <c r="R24" i="31" a="1"/>
  <c r="B6" i="31" a="1"/>
  <c r="R26" i="31" a="1"/>
  <c r="C43" i="31" a="1"/>
  <c r="B37" i="31" a="1"/>
  <c r="B21" i="31" a="1"/>
  <c r="R31" i="31" a="1"/>
  <c r="P44" i="31" a="1"/>
  <c r="Z9" i="31" a="1"/>
  <c r="P5" i="31" a="1"/>
  <c r="C29" i="31" a="1"/>
  <c r="C27" i="31" a="1"/>
  <c r="P20" i="31" a="1"/>
  <c r="Z26" i="31" a="1"/>
  <c r="B40" i="31" a="1"/>
  <c r="R38" i="31" a="1"/>
  <c r="R39" i="31" a="1"/>
  <c r="Y3" i="31" a="1"/>
  <c r="B33" i="31" a="1"/>
  <c r="C14" i="31" a="1"/>
  <c r="Z30" i="31" a="1"/>
  <c r="C19" i="31" a="1"/>
  <c r="C32" i="31" a="1"/>
  <c r="C17" i="31" a="1"/>
  <c r="B8" i="31" a="1"/>
  <c r="Z50" i="31" a="1"/>
  <c r="C42" i="31" a="1"/>
  <c r="R43" i="31" a="1"/>
  <c r="Z31" i="31" a="1"/>
  <c r="Z29" i="31" a="1"/>
  <c r="B4" i="31" a="1"/>
  <c r="AV2" i="31" a="1"/>
  <c r="R40" i="31" a="1"/>
  <c r="P26" i="31" a="1"/>
  <c r="Y10" i="31" a="1"/>
  <c r="Z20" i="31" a="1"/>
  <c r="Y13" i="31" a="1"/>
  <c r="P46" i="31" a="1"/>
  <c r="B50" i="31" a="1"/>
  <c r="Z24" i="31" a="1"/>
  <c r="Y5" i="31" a="1"/>
  <c r="Z10" i="31" a="1"/>
  <c r="B28" i="31" a="1"/>
  <c r="Z16" i="31" a="1"/>
  <c r="Z27" i="31" a="1"/>
  <c r="C44" i="31" a="1"/>
  <c r="R18" i="31" a="1"/>
  <c r="B2" i="31" a="1"/>
  <c r="Y23" i="31" a="1"/>
  <c r="R28" i="31" a="1"/>
  <c r="C41" i="31" a="1"/>
  <c r="Z44" i="31" a="1"/>
  <c r="C40" i="31" a="1"/>
  <c r="Y17" i="31" a="1"/>
  <c r="Y40" i="31" a="1"/>
  <c r="P15" i="31" a="1"/>
  <c r="Z43" i="31" a="1"/>
  <c r="C13" i="31" a="1"/>
  <c r="R46" i="31" a="1"/>
  <c r="Z23" i="31" a="1"/>
  <c r="R12" i="31" a="1"/>
  <c r="B39" i="31" a="1"/>
  <c r="P35" i="31" a="1"/>
  <c r="C11" i="31" a="1"/>
  <c r="C26" i="31" a="1"/>
  <c r="Z34" i="31" a="1"/>
  <c r="Z14" i="31" a="1"/>
  <c r="B30" i="31" a="1"/>
  <c r="R45" i="31" a="1"/>
  <c r="C15" i="31" a="1"/>
  <c r="Z33" i="31" a="1"/>
  <c r="Z21" i="31" a="1"/>
  <c r="Z28" i="31" a="1"/>
  <c r="Z40" i="31" a="1"/>
  <c r="B16" i="31" a="1"/>
  <c r="C24" i="31" a="1"/>
  <c r="Y47" i="31" a="1"/>
  <c r="B25" i="31" a="1"/>
  <c r="Z19" i="31" a="1"/>
  <c r="Y33" i="31" a="1"/>
  <c r="P25" i="31" a="1"/>
  <c r="Y46" i="31" a="1"/>
  <c r="Y34" i="31" a="1"/>
  <c r="Z38" i="31" a="1"/>
  <c r="Z48" i="31" a="1"/>
  <c r="C20" i="31" a="1"/>
  <c r="P48" i="31" a="1"/>
  <c r="R4" i="31" a="1"/>
  <c r="C4" i="31" a="1"/>
  <c r="Z35" i="31" a="1"/>
  <c r="Y26" i="31" a="1"/>
  <c r="C16" i="31" a="1"/>
  <c r="Y27" i="31" a="1"/>
  <c r="R47" i="31" a="1"/>
  <c r="R13" i="31" a="1"/>
  <c r="R11" i="31" a="1"/>
  <c r="Y50" i="31" a="1"/>
  <c r="R25" i="31" a="1"/>
  <c r="Y48" i="31" a="1"/>
  <c r="Z2" i="31" a="1"/>
  <c r="Z18" i="31" a="1"/>
  <c r="Y21" i="31" a="1"/>
  <c r="B18" i="31" a="1"/>
  <c r="B14" i="31" a="1"/>
  <c r="R44" i="31" a="1"/>
  <c r="P23" i="31" a="1"/>
  <c r="P33" i="31" a="1"/>
  <c r="P43" i="31" a="1"/>
  <c r="B13" i="31" a="1"/>
  <c r="Z37" i="31" a="1"/>
  <c r="R19" i="31" a="1"/>
  <c r="Y11" i="31" a="1"/>
  <c r="Y28" i="31" a="1"/>
  <c r="R17" i="31" a="1"/>
  <c r="Z4" i="31" a="1"/>
  <c r="Z39" i="31" a="1"/>
  <c r="G3" i="31" s="1"/>
  <c r="G6" i="31" s="1"/>
  <c r="G4" i="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E2" authorId="0" shapeId="0" xr:uid="{119B0813-459A-FB42-A77A-EE9272EF8534}">
      <text>
        <r>
          <rPr>
            <sz val="10"/>
            <color rgb="FF000000"/>
            <rFont val="Tahoma"/>
            <family val="2"/>
          </rPr>
          <t>Leave empty for Secure Access fro Everywhere</t>
        </r>
      </text>
    </comment>
    <comment ref="F2" authorId="0" shapeId="0" xr:uid="{9D616790-4924-E64A-8333-25E3DD3A9F2F}">
      <text>
        <r>
          <rPr>
            <sz val="10"/>
            <color rgb="FF000000"/>
            <rFont val="Calibri"/>
            <family val="2"/>
          </rPr>
          <t xml:space="preserve">Leave empty for Secure Access fro Everywhere
</t>
        </r>
      </text>
    </comment>
    <comment ref="X2" authorId="0" shapeId="0" xr:uid="{31D6A110-E4CD-EA48-AF76-7182D9898D8D}">
      <text>
        <r>
          <rPr>
            <b/>
            <sz val="10"/>
            <color rgb="FF000000"/>
            <rFont val="Tahoma"/>
            <family val="2"/>
          </rPr>
          <t xml:space="preserve">Currently supports only one email id to be provided.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Q2" authorId="0" shapeId="0" xr:uid="{8283E54E-BAEE-A349-8C8E-ED088B3A5BE0}">
      <text>
        <r>
          <rPr>
            <b/>
            <sz val="10"/>
            <color rgb="FF000000"/>
            <rFont val="Tahoma"/>
            <family val="2"/>
          </rPr>
          <t xml:space="preserve">Currently supports only one email id to be provided.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E2" authorId="0" shapeId="0" xr:uid="{948BE757-713B-774B-95CF-59F458D82EC8}">
      <text>
        <r>
          <rPr>
            <sz val="10"/>
            <color rgb="FF000000"/>
            <rFont val="Calibri"/>
            <family val="2"/>
            <scheme val="minor"/>
          </rPr>
          <t>The cluster name must begin with an alphabetic character and may contain hyphens(-) but can not contain underscores(_). It should be not more than 11 characters and is not case sensitive.</t>
        </r>
        <r>
          <rPr>
            <sz val="10"/>
            <color rgb="FF000000"/>
            <rFont val="Calibri"/>
            <family val="2"/>
            <scheme val="minor"/>
          </rPr>
          <t xml:space="preserve">
</t>
        </r>
      </text>
    </comment>
    <comment ref="I2" authorId="0" shapeId="0" xr:uid="{542EDA5D-A989-6949-8F78-A937D507BC27}">
      <text>
        <r>
          <rPr>
            <sz val="10"/>
            <color rgb="FF000000"/>
            <rFont val="Calibri"/>
            <family val="2"/>
            <scheme val="minor"/>
          </rPr>
          <t>The hostname must be a unique resolvable hostname for the Oracle Exadata VM Cluster and will be used to connect externally to the system. The hostname must begin with an alphabetic character, can contain only alphanumeric characters and hyphens, and not exceed 12 characters in length</t>
        </r>
        <r>
          <rPr>
            <sz val="10"/>
            <color rgb="FF000000"/>
            <rFont val="Calibri"/>
            <family val="2"/>
            <scheme val="minor"/>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<sst xmlns="http://schemas.openxmlformats.org/spreadsheetml/2006/main" count="714" uniqueCount="563">
  <si>
    <t>Region</t>
  </si>
  <si>
    <t>&lt;END&gt;</t>
  </si>
  <si>
    <t>Phoenix</t>
  </si>
  <si>
    <t>y</t>
  </si>
  <si>
    <t>n</t>
  </si>
  <si>
    <t>CustomDnsServer</t>
  </si>
  <si>
    <t>VcnLocalPlusInternet</t>
  </si>
  <si>
    <t>Regional</t>
  </si>
  <si>
    <t>object_storage</t>
  </si>
  <si>
    <t>AD1</t>
  </si>
  <si>
    <t>private</t>
  </si>
  <si>
    <t>all</t>
  </si>
  <si>
    <t>False</t>
  </si>
  <si>
    <t>udp</t>
  </si>
  <si>
    <t>Shape</t>
  </si>
  <si>
    <t>AD2</t>
  </si>
  <si>
    <t>AD3</t>
  </si>
  <si>
    <t>FAULT-DOMAIN-3</t>
  </si>
  <si>
    <t>FAULT-DOMAIN-2</t>
  </si>
  <si>
    <t>paravirtualized</t>
  </si>
  <si>
    <t>READ_WRITE</t>
  </si>
  <si>
    <t>READ_ONLY</t>
  </si>
  <si>
    <t>100Mbps</t>
  </si>
  <si>
    <t>400Mbps</t>
  </si>
  <si>
    <t>ROUND_ROBIN</t>
  </si>
  <si>
    <t>HTTP</t>
  </si>
  <si>
    <t>LB</t>
  </si>
  <si>
    <t>Backend Server</t>
  </si>
  <si>
    <t>CONTROL_ACCESS_USING_HTTP_METHODS</t>
  </si>
  <si>
    <t>DELETE</t>
  </si>
  <si>
    <t>UNLINK</t>
  </si>
  <si>
    <t>UPDATE</t>
  </si>
  <si>
    <t>UNBIND</t>
  </si>
  <si>
    <t>COPY</t>
  </si>
  <si>
    <t>HTTP_HEADER</t>
  </si>
  <si>
    <t>ALLOW</t>
  </si>
  <si>
    <t>SOURCE_IP_ADDRESS</t>
  </si>
  <si>
    <t>REDIRECT</t>
  </si>
  <si>
    <t>PATH</t>
  </si>
  <si>
    <t>EXACT_MATCH</t>
  </si>
  <si>
    <t>PREFIX_MATCH</t>
  </si>
  <si>
    <t>EXTEND_HTTP_REQUEST_HEADER_VALUE</t>
  </si>
  <si>
    <t>ADD_HTTP_REQUEST_HEADER</t>
  </si>
  <si>
    <t>REMOVE_HTTP_REQUEST_HEADER</t>
  </si>
  <si>
    <t>ADD_HTTP_RESPONSE_HEADER</t>
  </si>
  <si>
    <t>REMOVE_HTTP_RESPONSE_HEADER</t>
  </si>
  <si>
    <t>EXTEND_HTTP_RESPONSE_HEADER_VALUE</t>
  </si>
  <si>
    <t>SUFFIX_MATCH</t>
  </si>
  <si>
    <t>FORCE_LONGEST_PREFIX_MATCH</t>
  </si>
  <si>
    <t>Actions_Values</t>
  </si>
  <si>
    <t>Allowed_Methods</t>
  </si>
  <si>
    <t>Match_Style</t>
  </si>
  <si>
    <t>Attribute_Names</t>
  </si>
  <si>
    <t>Response_Code</t>
  </si>
  <si>
    <t>Header_Size</t>
  </si>
  <si>
    <t>ACL</t>
  </si>
  <si>
    <t>BASELINE-CONTROL</t>
  </si>
  <si>
    <t>BIND</t>
  </si>
  <si>
    <t>SOURCE_VCN_IP_ADDRESS</t>
  </si>
  <si>
    <t>CHECKIN</t>
  </si>
  <si>
    <t>CHECKOUT</t>
  </si>
  <si>
    <t>CONNECT</t>
  </si>
  <si>
    <t>GET</t>
  </si>
  <si>
    <t>HEAD</t>
  </si>
  <si>
    <t>LABEL</t>
  </si>
  <si>
    <t>LINK</t>
  </si>
  <si>
    <t>LOCK</t>
  </si>
  <si>
    <t>MERGE</t>
  </si>
  <si>
    <t>MKACTIVITY</t>
  </si>
  <si>
    <t>MKCALENDAR</t>
  </si>
  <si>
    <t>MKCOL</t>
  </si>
  <si>
    <t>MKREDIRECTREF</t>
  </si>
  <si>
    <t>MKWORKSPACE</t>
  </si>
  <si>
    <t>MOVE</t>
  </si>
  <si>
    <t>OPTIONS</t>
  </si>
  <si>
    <t>ORDERPATCH</t>
  </si>
  <si>
    <t>PATCH</t>
  </si>
  <si>
    <t>POST</t>
  </si>
  <si>
    <t>PRI</t>
  </si>
  <si>
    <t>PROPFIND</t>
  </si>
  <si>
    <t>PROPPATCH</t>
  </si>
  <si>
    <t>PUT</t>
  </si>
  <si>
    <t>REBIND</t>
  </si>
  <si>
    <t>REPORT</t>
  </si>
  <si>
    <t>SEARCH</t>
  </si>
  <si>
    <t>TRACE</t>
  </si>
  <si>
    <t>UNCHECKOUT</t>
  </si>
  <si>
    <t>UNLOCK</t>
  </si>
  <si>
    <t>UPDATEREDIRECTREF</t>
  </si>
  <si>
    <t>VERSION-CONTROL</t>
  </si>
  <si>
    <t>Admin Password</t>
  </si>
  <si>
    <t>ADW or ATP</t>
  </si>
  <si>
    <t>Ashburn</t>
  </si>
  <si>
    <t>ADW</t>
  </si>
  <si>
    <t>ATP</t>
  </si>
  <si>
    <t>Character Set</t>
  </si>
  <si>
    <t>nCharacter Set</t>
  </si>
  <si>
    <t>LICENSE_INCLUDED</t>
  </si>
  <si>
    <t>BEstrO0ng_#12</t>
  </si>
  <si>
    <t>OLTP</t>
  </si>
  <si>
    <t>AL32UTF8</t>
  </si>
  <si>
    <t>AL16UTF16</t>
  </si>
  <si>
    <t>VM.Standard2.2</t>
  </si>
  <si>
    <t>BM.DenseIO2.52</t>
  </si>
  <si>
    <t>ENTERPRISE_EDITION</t>
  </si>
  <si>
    <t>FAULT-DOMAIN-1</t>
  </si>
  <si>
    <t>all_services</t>
  </si>
  <si>
    <t>tcp</t>
  </si>
  <si>
    <t>Gold</t>
  </si>
  <si>
    <t>root</t>
  </si>
  <si>
    <t>DB Version</t>
  </si>
  <si>
    <t>19.0.0.0</t>
  </si>
  <si>
    <t>STANDARD_EDITION</t>
  </si>
  <si>
    <t>public</t>
  </si>
  <si>
    <t>EGRESS</t>
  </si>
  <si>
    <t>INGRESS</t>
  </si>
  <si>
    <t>Fixed Reference</t>
  </si>
  <si>
    <t>VCN for DRG</t>
  </si>
  <si>
    <t>VCN List</t>
  </si>
  <si>
    <t>Subnet</t>
  </si>
  <si>
    <t xml:space="preserve">DRG Required(VCN)
IGW Required(VCN)
NGW Required(VCN)
SGW Required(VCN)
Add Default Seclist(Subnets)
Configure NGW Route(Subnets)
Configure IGW Route(Subnets)
Configure OnPrem Route(Subnets)
Configure VCNPeering Route(Subnets)
UseSSL(LB-Listener)
</t>
  </si>
  <si>
    <t>server type(subnet)</t>
  </si>
  <si>
    <t>Availability Domain(subnet)</t>
  </si>
  <si>
    <t>Type(subnet)</t>
  </si>
  <si>
    <t>DHCP Option name(Subnet)</t>
  </si>
  <si>
    <t>Configure SGW Route(Subnet)</t>
  </si>
  <si>
    <t>Direction(SL)</t>
  </si>
  <si>
    <t>protocol(SL)- Commonly Used</t>
  </si>
  <si>
    <t>isStateless(SL)</t>
  </si>
  <si>
    <t>FAULT-DOMAIN</t>
  </si>
  <si>
    <t>Availability Domain(Compute)</t>
  </si>
  <si>
    <t>Backup Policy(Instance)</t>
  </si>
  <si>
    <t>Instance list(BlockVols)</t>
  </si>
  <si>
    <t>Attach Type</t>
  </si>
  <si>
    <t>Access</t>
  </si>
  <si>
    <t>IDSquash</t>
  </si>
  <si>
    <t>Backend Policy</t>
  </si>
  <si>
    <t>Backend HealthCheck Protocol</t>
  </si>
  <si>
    <t>Cookie Session</t>
  </si>
  <si>
    <t>Listener Protocol</t>
  </si>
  <si>
    <t>Amsterdam</t>
  </si>
  <si>
    <t>True</t>
  </si>
  <si>
    <t>iscsi</t>
  </si>
  <si>
    <t>ALL</t>
  </si>
  <si>
    <t>LEAST_CONNECTIONS</t>
  </si>
  <si>
    <t>Silver</t>
  </si>
  <si>
    <t>ROOT</t>
  </si>
  <si>
    <t>TCP</t>
  </si>
  <si>
    <t>Chuncheon</t>
  </si>
  <si>
    <t>Bronze</t>
  </si>
  <si>
    <t>NONE</t>
  </si>
  <si>
    <t>8000Mbps</t>
  </si>
  <si>
    <t>IP_HASH</t>
  </si>
  <si>
    <t>Dubai</t>
  </si>
  <si>
    <t>icmp</t>
  </si>
  <si>
    <t>Frankfurt</t>
  </si>
  <si>
    <t>Hyderabad</t>
  </si>
  <si>
    <t>Jeddah</t>
  </si>
  <si>
    <t>London</t>
  </si>
  <si>
    <t>Melbourne</t>
  </si>
  <si>
    <t>Montreal</t>
  </si>
  <si>
    <t>Mumbai</t>
  </si>
  <si>
    <t>Osaka</t>
  </si>
  <si>
    <t>Santiago</t>
  </si>
  <si>
    <t>Seoul</t>
  </si>
  <si>
    <t>Sydney</t>
  </si>
  <si>
    <t>Tokyo</t>
  </si>
  <si>
    <t>Toronto</t>
  </si>
  <si>
    <t>Vinhedo</t>
  </si>
  <si>
    <t>Zurich</t>
  </si>
  <si>
    <t>Compartment List</t>
  </si>
  <si>
    <t>DRG List</t>
  </si>
  <si>
    <t>Cost tracking tags
Require PS Port
Pub Address(Instance)</t>
  </si>
  <si>
    <t>DVM List</t>
  </si>
  <si>
    <t>flexible</t>
  </si>
  <si>
    <t>Node Count</t>
  </si>
  <si>
    <t>Database Edition</t>
  </si>
  <si>
    <t>Data Storage Percentage</t>
  </si>
  <si>
    <t>Disk Redundancy</t>
  </si>
  <si>
    <t>License Model</t>
  </si>
  <si>
    <t>ADB Display Name</t>
  </si>
  <si>
    <t>Database Workload</t>
  </si>
  <si>
    <t>ATP01</t>
  </si>
  <si>
    <t>v1.24.1</t>
  </si>
  <si>
    <t>OCI_VCN_IP_NATIVE</t>
  </si>
  <si>
    <t>v1.22.5</t>
  </si>
  <si>
    <t>FLANNEL_OVERLAY</t>
  </si>
  <si>
    <t>Network Type</t>
  </si>
  <si>
    <t>Pod Security policy/API Endpoint Pub Address</t>
  </si>
  <si>
    <t>Kubernetes Version</t>
  </si>
  <si>
    <t>v1.23.4</t>
  </si>
  <si>
    <t>Chicago</t>
  </si>
  <si>
    <t>Jerusalem</t>
  </si>
  <si>
    <t>Johannesburg</t>
  </si>
  <si>
    <t>Madrid</t>
  </si>
  <si>
    <t>Marseille</t>
  </si>
  <si>
    <t>Milan</t>
  </si>
  <si>
    <t>Queretaro</t>
  </si>
  <si>
    <t>Sanjose</t>
  </si>
  <si>
    <t>gov-ashburn</t>
  </si>
  <si>
    <t>gov-chicago</t>
  </si>
  <si>
    <t>gov-phoenix</t>
  </si>
  <si>
    <t>gov-london</t>
  </si>
  <si>
    <t>gov-cardiff</t>
  </si>
  <si>
    <t>Abudhabi</t>
  </si>
  <si>
    <t>Cardiff</t>
  </si>
  <si>
    <t>Langley</t>
  </si>
  <si>
    <t>Luke</t>
  </si>
  <si>
    <t>Paris</t>
  </si>
  <si>
    <t>Saopaulo</t>
  </si>
  <si>
    <t>Stockholm</t>
  </si>
  <si>
    <t>Shapes</t>
  </si>
  <si>
    <t>DB version</t>
  </si>
  <si>
    <t>DB workload</t>
  </si>
  <si>
    <t>EXA Shapes</t>
  </si>
  <si>
    <t>ADB workload</t>
  </si>
  <si>
    <t>VM.Standard2.1</t>
  </si>
  <si>
    <t>ENTERPRISE_EDITION_EXTREME_PERFORMANCE</t>
  </si>
  <si>
    <t xml:space="preserve">11.2.0.4 </t>
  </si>
  <si>
    <t>Exadata.Quarter2.92</t>
  </si>
  <si>
    <t>Normal</t>
  </si>
  <si>
    <t>VM.Standard1.1</t>
  </si>
  <si>
    <t>12.1.0.2</t>
  </si>
  <si>
    <t>DSS</t>
  </si>
  <si>
    <t>Exadata.Half2.184</t>
  </si>
  <si>
    <t>BRING_YOUR_OWN_LICENSE</t>
  </si>
  <si>
    <t>UTF8</t>
  </si>
  <si>
    <t>AR8ADOS710</t>
  </si>
  <si>
    <t>High</t>
  </si>
  <si>
    <t>VM.Standard1.2</t>
  </si>
  <si>
    <t>12.2.0.1</t>
  </si>
  <si>
    <t>Exadata.Full2.368</t>
  </si>
  <si>
    <t>AR8ADOS720</t>
  </si>
  <si>
    <t>JSON</t>
  </si>
  <si>
    <t>ENTERPRISE_EDITION_HIGH_PERFORMANCE</t>
  </si>
  <si>
    <t>18.0.0.0</t>
  </si>
  <si>
    <t>Exadata.Quarter1.84</t>
  </si>
  <si>
    <t>AR8APTEC715</t>
  </si>
  <si>
    <t>APEX</t>
  </si>
  <si>
    <t>VM.Standard2.4</t>
  </si>
  <si>
    <t xml:space="preserve">18.12.0.0 </t>
  </si>
  <si>
    <t>Exadata.Half1.168</t>
  </si>
  <si>
    <t>AR8ARABICMACS</t>
  </si>
  <si>
    <t>VM.Standard1.4</t>
  </si>
  <si>
    <t>18.13.0.0</t>
  </si>
  <si>
    <t>Exadata.Full1.336</t>
  </si>
  <si>
    <t>AR8ASMO8X</t>
  </si>
  <si>
    <t>VM.Standard1.8</t>
  </si>
  <si>
    <t>18.14.0.0</t>
  </si>
  <si>
    <t>Exadata.Base.48</t>
  </si>
  <si>
    <t>AR8ISO8859P6</t>
  </si>
  <si>
    <t>VM.Standard2.8</t>
  </si>
  <si>
    <t>Exadata.Half3.200</t>
  </si>
  <si>
    <t>AR8MSWIN1256</t>
  </si>
  <si>
    <t>VM.Standard2.16</t>
  </si>
  <si>
    <t>19.10.0.0</t>
  </si>
  <si>
    <t>Exadata.Quater3.100</t>
  </si>
  <si>
    <t>AR8MUSSAD768</t>
  </si>
  <si>
    <t>VM.Standard1.16</t>
  </si>
  <si>
    <t xml:space="preserve">19.11.0.0 </t>
  </si>
  <si>
    <t>Exadata.Full3.400</t>
  </si>
  <si>
    <t>AR8NAFITHA711</t>
  </si>
  <si>
    <t>VM.Standard2.24</t>
  </si>
  <si>
    <t>19.12.0.0</t>
  </si>
  <si>
    <t>Exadata X8M-2</t>
  </si>
  <si>
    <t>AR8NAFITHA721</t>
  </si>
  <si>
    <t>BM.DenseIO1.36</t>
  </si>
  <si>
    <t>21.0.0.0</t>
  </si>
  <si>
    <t>Exadata X9M-2</t>
  </si>
  <si>
    <t>AR8SAKHR706</t>
  </si>
  <si>
    <t>21.3.0.0</t>
  </si>
  <si>
    <t>AR8SAKHR707</t>
  </si>
  <si>
    <t>AZ8ISO8859P9E</t>
  </si>
  <si>
    <t>BG8MSWIN</t>
  </si>
  <si>
    <t>BG8PC437S</t>
  </si>
  <si>
    <t>BLT8CP921</t>
  </si>
  <si>
    <t>BLT8ISO8859P13</t>
  </si>
  <si>
    <t>BLT8MSWIN1257</t>
  </si>
  <si>
    <t>BLT8PC775</t>
  </si>
  <si>
    <t>BN8BSCII</t>
  </si>
  <si>
    <t>CDN8PC863</t>
  </si>
  <si>
    <t>CEL8ISO8859P14</t>
  </si>
  <si>
    <t>CL8ISO8859P5</t>
  </si>
  <si>
    <t>CL8ISOIR111</t>
  </si>
  <si>
    <t>CL8KOI8R</t>
  </si>
  <si>
    <t>CL8KOI8U</t>
  </si>
  <si>
    <t>CL8MACCYRILLICS</t>
  </si>
  <si>
    <t>CL8MSWIN1251</t>
  </si>
  <si>
    <t>EE8ISO8859P2</t>
  </si>
  <si>
    <t>EE8MACCES</t>
  </si>
  <si>
    <t>EE8MACCROATIANS</t>
  </si>
  <si>
    <t>EE8MSWIN1250</t>
  </si>
  <si>
    <t>EE8PC852</t>
  </si>
  <si>
    <t>EL8DEC</t>
  </si>
  <si>
    <t>EL8ISO8859P7</t>
  </si>
  <si>
    <t>EL8MACGREEKS</t>
  </si>
  <si>
    <t>EL8MSWIN1253</t>
  </si>
  <si>
    <t>EL8PC437S</t>
  </si>
  <si>
    <t>EL8PC851</t>
  </si>
  <si>
    <t>EL8PC869</t>
  </si>
  <si>
    <t>ET8MSWIN923</t>
  </si>
  <si>
    <t>HU8ABMOD</t>
  </si>
  <si>
    <t>HU8CWI2</t>
  </si>
  <si>
    <t>IN8ISCII</t>
  </si>
  <si>
    <t>IS8PC861</t>
  </si>
  <si>
    <t>IW8ISO8859P8</t>
  </si>
  <si>
    <t>IW8MACHEBREWS</t>
  </si>
  <si>
    <t>IW8MSWIN1255</t>
  </si>
  <si>
    <t>IW8PC1507</t>
  </si>
  <si>
    <t>JA16EUC</t>
  </si>
  <si>
    <t>JA16EUCTILDE</t>
  </si>
  <si>
    <t>JA16SJIS</t>
  </si>
  <si>
    <t>JA16SJISTILDE</t>
  </si>
  <si>
    <t>JA16VMS</t>
  </si>
  <si>
    <t>KO16KSC5601</t>
  </si>
  <si>
    <t>KO16KSCCS</t>
  </si>
  <si>
    <t>KO16MSWIN949</t>
  </si>
  <si>
    <t>LA8ISO6937</t>
  </si>
  <si>
    <t>LA8PASSPORT</t>
  </si>
  <si>
    <t>LT8MSWIN921</t>
  </si>
  <si>
    <t>LT8PC772</t>
  </si>
  <si>
    <t>LT8PC774</t>
  </si>
  <si>
    <t>LV8PC1117</t>
  </si>
  <si>
    <t>LV8PC8LR</t>
  </si>
  <si>
    <t>LV8RST104090</t>
  </si>
  <si>
    <t>N8PC865</t>
  </si>
  <si>
    <t>NE8ISO8859P10</t>
  </si>
  <si>
    <t>NEE8ISO8859P4</t>
  </si>
  <si>
    <t>RU8BESTA</t>
  </si>
  <si>
    <t>RU8PC855</t>
  </si>
  <si>
    <t>RU8PC866</t>
  </si>
  <si>
    <t>SE8ISO8859P3</t>
  </si>
  <si>
    <t>TH8MACTHAIS</t>
  </si>
  <si>
    <t>TH8TISASCII</t>
  </si>
  <si>
    <t>TR8DEC</t>
  </si>
  <si>
    <t>TR8MACTURKISHS</t>
  </si>
  <si>
    <t>TR8MSWIN1254</t>
  </si>
  <si>
    <t>TR8PC857</t>
  </si>
  <si>
    <t>US7ASCII</t>
  </si>
  <si>
    <t>US8PC437</t>
  </si>
  <si>
    <t>VN8MSWIN1258</t>
  </si>
  <si>
    <t>VN8VN3</t>
  </si>
  <si>
    <t>WE8DEC</t>
  </si>
  <si>
    <t>WE8DG</t>
  </si>
  <si>
    <t>WE8ISO8859P1</t>
  </si>
  <si>
    <t>WE8ISO8859P15</t>
  </si>
  <si>
    <t>WE8ISO8859P9</t>
  </si>
  <si>
    <t>WE8MACROMAN8S</t>
  </si>
  <si>
    <t>WE8MSWIN1252</t>
  </si>
  <si>
    <t>WE8NCR4970</t>
  </si>
  <si>
    <t>WE8NEXTSTEP</t>
  </si>
  <si>
    <t>WE8PC850</t>
  </si>
  <si>
    <t>WE8PC858</t>
  </si>
  <si>
    <t>WE8PC860</t>
  </si>
  <si>
    <t>WE8ROMAN8</t>
  </si>
  <si>
    <t>ZHS16CGB231280</t>
  </si>
  <si>
    <t>ZHS16GBK</t>
  </si>
  <si>
    <t>ZHT16BIG5</t>
  </si>
  <si>
    <t>ZHT16CCDC</t>
  </si>
  <si>
    <t>ZHT16DBT</t>
  </si>
  <si>
    <t>ZHT16HKSCS</t>
  </si>
  <si>
    <t>ZHT16MSWIN950</t>
  </si>
  <si>
    <t>ZHT32EUC</t>
  </si>
  <si>
    <t>ZHT32SOPS</t>
  </si>
  <si>
    <t>ZHT32TRIS</t>
  </si>
  <si>
    <t>Jovanovac</t>
  </si>
  <si>
    <t>Newport</t>
  </si>
  <si>
    <t>VLAN Names</t>
  </si>
  <si>
    <t>Row references</t>
  </si>
  <si>
    <t>Sl.No</t>
  </si>
  <si>
    <t>Subnet Unique</t>
  </si>
  <si>
    <t>VLAN Unique</t>
  </si>
  <si>
    <t>Compartment Unique</t>
  </si>
  <si>
    <t>VCN Unique</t>
  </si>
  <si>
    <t>VCN for DRG Unique</t>
  </si>
  <si>
    <t>Network Details</t>
  </si>
  <si>
    <t>##US Defence##</t>
  </si>
  <si>
    <t>##Commercial##</t>
  </si>
  <si>
    <t>##UK Gov##</t>
  </si>
  <si>
    <t>##US Gov##</t>
  </si>
  <si>
    <t>Valparaiso</t>
  </si>
  <si>
    <t>Bogota</t>
  </si>
  <si>
    <t>Monterrey</t>
  </si>
  <si>
    <t>Riyadh</t>
  </si>
  <si>
    <t>binlog_expire_logs_seconds</t>
  </si>
  <si>
    <t>binlog_row_value_options</t>
  </si>
  <si>
    <t>group_replication_consistency</t>
  </si>
  <si>
    <t>innodb_buffer_pool_instances</t>
  </si>
  <si>
    <t>innodb_buffer_pool_size</t>
  </si>
  <si>
    <t>innodb_ft_result_cache_limit</t>
  </si>
  <si>
    <t>innodb_max_purge_lag_delay</t>
  </si>
  <si>
    <t>local_infile</t>
  </si>
  <si>
    <t>mandatory_roles</t>
  </si>
  <si>
    <t>max_binlog_cache_size</t>
  </si>
  <si>
    <t>max_connections</t>
  </si>
  <si>
    <t>time_zone</t>
  </si>
  <si>
    <t>autocommit</t>
  </si>
  <si>
    <t>big_tables</t>
  </si>
  <si>
    <t>mysql-configuration-variables</t>
  </si>
  <si>
    <t>init_variables_lower_case_table_names</t>
  </si>
  <si>
    <t>binlog_row_metadata</t>
  </si>
  <si>
    <t>binlog_transaction_compression</t>
  </si>
  <si>
    <t>completion_type</t>
  </si>
  <si>
    <t>connect_timeout</t>
  </si>
  <si>
    <t>connection_memory_chunk_size</t>
  </si>
  <si>
    <t>connection_memory_limit</t>
  </si>
  <si>
    <t>cte_max_recursion_depth</t>
  </si>
  <si>
    <t>default_authentication_plugin</t>
  </si>
  <si>
    <t>foreign_key_checks</t>
  </si>
  <si>
    <t>global_connection_memory_limit</t>
  </si>
  <si>
    <t>global_connection_memory_tracking</t>
  </si>
  <si>
    <t>information_schema_stats_expiry</t>
  </si>
  <si>
    <t>innodb_buffer_pool_dump_pct</t>
  </si>
  <si>
    <t>innodb_ddl_buffer_size</t>
  </si>
  <si>
    <t>innodb_ddl_threads</t>
  </si>
  <si>
    <t>innodb_ft_enable_stopword</t>
  </si>
  <si>
    <t>innodb_ft_max_token_size</t>
  </si>
  <si>
    <t>innodb_ft_min_token_size</t>
  </si>
  <si>
    <t>innodb_ft_num_word_optimize</t>
  </si>
  <si>
    <t>innodb_ft_server_stopword_table</t>
  </si>
  <si>
    <t>innodb_lock_wait_timeout</t>
  </si>
  <si>
    <t>innodb_log_writer_threads</t>
  </si>
  <si>
    <t>innodb_max_purge_lag</t>
  </si>
  <si>
    <t>innodb_stats_persistent_sample_pages</t>
  </si>
  <si>
    <t>innodb_stats_transient_sample_pages</t>
  </si>
  <si>
    <t>interactive_timeout</t>
  </si>
  <si>
    <t>max_allowed_packet</t>
  </si>
  <si>
    <t>max_connect_errors</t>
  </si>
  <si>
    <t>max_execution_time</t>
  </si>
  <si>
    <t>max_heap_table_size</t>
  </si>
  <si>
    <t>max_prepared_stmt_count</t>
  </si>
  <si>
    <t>mysql_firewall_mode</t>
  </si>
  <si>
    <t>mysqlx_connect_timeout</t>
  </si>
  <si>
    <t>mysqlx_deflate_default_compression_level</t>
  </si>
  <si>
    <t>mysqlx_deflate_max_client_compression_level</t>
  </si>
  <si>
    <t>mysqlx_enable_hello_notice</t>
  </si>
  <si>
    <t>mysqlx_interactive_timeout</t>
  </si>
  <si>
    <t>mysqlx_lz4default_compression_level</t>
  </si>
  <si>
    <t>mysqlx_lz4max_client_compression_level</t>
  </si>
  <si>
    <t>mysqlx_max_allowed_packet</t>
  </si>
  <si>
    <t>mysqlx_read_timeout</t>
  </si>
  <si>
    <t>mysqlx_wait_timeout</t>
  </si>
  <si>
    <t>mysqlx_write_timeout</t>
  </si>
  <si>
    <t>mysqlx_zstd_default_compression_level</t>
  </si>
  <si>
    <t>mysqlx_zstd_max_client_compression_level</t>
  </si>
  <si>
    <t>net_read_timeout</t>
  </si>
  <si>
    <t>net_write_timeout</t>
  </si>
  <si>
    <t>parser_max_mem_size</t>
  </si>
  <si>
    <t>regexp_time_limit</t>
  </si>
  <si>
    <t>sort_buffer_size</t>
  </si>
  <si>
    <t>sql_mode</t>
  </si>
  <si>
    <t>sql_require_primary_key</t>
  </si>
  <si>
    <t>sql_warnings</t>
  </si>
  <si>
    <t>thread_pool_dedicated_listeners</t>
  </si>
  <si>
    <t>thread_pool_max_transactions_limit</t>
  </si>
  <si>
    <t>tmp_table_size</t>
  </si>
  <si>
    <t>transaction_isolation</t>
  </si>
  <si>
    <t>wait_timeout</t>
  </si>
  <si>
    <t>Singapore-1</t>
  </si>
  <si>
    <t>Singapore-2</t>
  </si>
  <si>
    <t>Compute Count</t>
  </si>
  <si>
    <t>Compute Model</t>
  </si>
  <si>
    <t>Common Tags</t>
  </si>
  <si>
    <t>Backup Retention Period In Days</t>
  </si>
  <si>
    <t>Auto Scaling for Storage Enabled</t>
  </si>
  <si>
    <t>Auto Scaling Enabled</t>
  </si>
  <si>
    <t>MTLS Connection Required</t>
  </si>
  <si>
    <t>Data Storage Size in TBs</t>
  </si>
  <si>
    <t>eastus</t>
  </si>
  <si>
    <t>new</t>
  </si>
  <si>
    <t>test@test_vcn::db_subnet</t>
  </si>
  <si>
    <t>19c</t>
  </si>
  <si>
    <t>ECPU</t>
  </si>
  <si>
    <t>Customer Contacts</t>
  </si>
  <si>
    <r>
      <t xml:space="preserve"># Rows after &lt;END&gt; will not be processed (Sample data is provided for reference after &lt;END&gt;);
Network Details  : </t>
    </r>
    <r>
      <rPr>
        <sz val="11"/>
        <color theme="1"/>
        <rFont val="Calibri"/>
        <family val="2"/>
        <scheme val="minor"/>
      </rPr>
      <t>&lt;Resource-Group-Name&gt;@&lt;vnet-name&gt;::&lt;delegated-subnet-name&gt;</t>
    </r>
    <r>
      <rPr>
        <b/>
        <sz val="11"/>
        <color theme="1"/>
        <rFont val="Calibri"/>
        <family val="2"/>
        <scheme val="minor"/>
      </rPr>
      <t xml:space="preserve">
Admin Password  : P</t>
    </r>
    <r>
      <rPr>
        <sz val="11"/>
        <color theme="1"/>
        <rFont val="Calibri"/>
        <family val="2"/>
        <scheme val="minor"/>
      </rPr>
      <t>assword must be 9 to 30 characters and contain at least 2 uppercase, 2 lowercase, 2 special, and 2 numeric 
                                  characters. The special characters must be _, #, or -.</t>
    </r>
  </si>
  <si>
    <t>abc@yahoo.com,def@gmail.com</t>
  </si>
  <si>
    <t>key1=value1;key2=value2</t>
  </si>
  <si>
    <t>Resource Group Name</t>
  </si>
  <si>
    <t>Exadata Infra Display Name</t>
  </si>
  <si>
    <t>Database Servers</t>
  </si>
  <si>
    <t>Storage Servers</t>
  </si>
  <si>
    <t>Database Server Type</t>
  </si>
  <si>
    <t>Storage Server type</t>
  </si>
  <si>
    <t>Maintenance Method</t>
  </si>
  <si>
    <t>Preference</t>
  </si>
  <si>
    <t>Weeks of Month</t>
  </si>
  <si>
    <t>Hours of Day</t>
  </si>
  <si>
    <t>Days of Week</t>
  </si>
  <si>
    <t>Months</t>
  </si>
  <si>
    <t>Lead Time in Weeks</t>
  </si>
  <si>
    <t>Exadata.X11M</t>
  </si>
  <si>
    <t>X11M</t>
  </si>
  <si>
    <t>X11M-HC</t>
  </si>
  <si>
    <t>VM Cluster Display Name</t>
  </si>
  <si>
    <t>CPU Core Count</t>
  </si>
  <si>
    <t>GI Version</t>
  </si>
  <si>
    <t>SSH Public Keys</t>
  </si>
  <si>
    <t>Time Zone</t>
  </si>
  <si>
    <t>Location</t>
  </si>
  <si>
    <t>GCP Oracle Zone</t>
  </si>
  <si>
    <t>Project</t>
  </si>
  <si>
    <t>Labels</t>
  </si>
  <si>
    <t>'</t>
  </si>
  <si>
    <t>Email</t>
  </si>
  <si>
    <t>NO_PREFERENCE</t>
  </si>
  <si>
    <t>ROLLING</t>
  </si>
  <si>
    <t>License Type</t>
  </si>
  <si>
    <t>Hostname Prefix</t>
  </si>
  <si>
    <t>Memory Size GB</t>
  </si>
  <si>
    <t>DB Node Storage Size GB</t>
  </si>
  <si>
    <t>Data Storage Size TB</t>
  </si>
  <si>
    <t>Sparse Diskgroup Enabled</t>
  </si>
  <si>
    <t>Local Backup Enabled</t>
  </si>
  <si>
    <t>ODB Network Details</t>
  </si>
  <si>
    <t>us-east4</t>
  </si>
  <si>
    <t>us-east4-b-r1</t>
  </si>
  <si>
    <t>23.0.0.0</t>
  </si>
  <si>
    <t>Cluster Name</t>
  </si>
  <si>
    <t>ODB Network Subnets Details</t>
  </si>
  <si>
    <t>Exa-1</t>
  </si>
  <si>
    <t>abc@oracle.com</t>
  </si>
  <si>
    <t>environment=prod</t>
  </si>
  <si>
    <t>vm-cluster-1</t>
  </si>
  <si>
    <t>cluster1</t>
  </si>
  <si>
    <t>ssh-rsa AAAAB3NzaC1yc2EAAAADAQABAAABAQCcQ1JVp//N4A7tsB/eLkBc/tE0WKo3cXSJVemCI/2iUb6svkXuTvMPjj1d73QfV/U21OihobXJWyVzw+1vECTlGTneYnhanX4SIeEKa7W9sreB38gKp7PXkrL6QdKxrvq1iQe6D789mcmmLW9vFFDqr8Z1E9SD4guP1mGM6UZeSl9n+WdNpse9V AL_ADT_GCP_EXA</t>
  </si>
  <si>
    <t>ß</t>
  </si>
  <si>
    <t>vm-cluster-2</t>
  </si>
  <si>
    <t>cluster2</t>
  </si>
  <si>
    <t>CREATE::dbclient-1::10.110.252.0/24::dbbkp-1::10.110.253.0/24</t>
  </si>
  <si>
    <t>CREATE::dbclient-2::10.110.254.0/24::dbbkp-2::10.110.255.0/24</t>
  </si>
  <si>
    <t>hostname1</t>
  </si>
  <si>
    <t>hostname2</t>
  </si>
  <si>
    <t>CREATE::oradb_gcp_project_id::vpc-gcp::gcp_odbnetwork::us-east4-b-r1</t>
  </si>
  <si>
    <t>oradb_gcp_project_id::vpc-gcp::gcp_odbnetwork</t>
  </si>
  <si>
    <t>oradb_gcp_project_2</t>
  </si>
  <si>
    <t>oradb_gcp_project_1</t>
  </si>
  <si>
    <t>Exa-2</t>
  </si>
  <si>
    <t>oradb_gcp_project_2@Exa-2</t>
  </si>
  <si>
    <t>ODB Network Subnet Details</t>
  </si>
  <si>
    <t>odb_database</t>
  </si>
  <si>
    <t>CREATE::dbclient-1::10.110.252.0/24</t>
  </si>
  <si>
    <r>
      <t xml:space="preserve"># Rows after &lt;END&gt; will not be processed (Sample data is provided for reference after &lt;END&gt;);
Project : </t>
    </r>
    <r>
      <rPr>
        <sz val="11"/>
        <color theme="1"/>
        <rFont val="Calibri"/>
        <family val="2"/>
        <scheme val="minor"/>
      </rPr>
      <t>Specify project ID</t>
    </r>
    <r>
      <rPr>
        <b/>
        <sz val="11"/>
        <color theme="1"/>
        <rFont val="Calibri"/>
        <family val="2"/>
        <scheme val="minor"/>
      </rPr>
      <t xml:space="preserve">
</t>
    </r>
  </si>
  <si>
    <t>Is Auto Scaling Enabled</t>
  </si>
  <si>
    <t>Is Storage Auto Scaling Enabled</t>
  </si>
  <si>
    <t>LakeHouse</t>
  </si>
  <si>
    <t>Database Name</t>
  </si>
  <si>
    <t>atpdb</t>
  </si>
  <si>
    <t>adbdb</t>
  </si>
  <si>
    <t>ATP 01</t>
  </si>
  <si>
    <t>DB Edition</t>
  </si>
  <si>
    <t>Private Endpoint IP</t>
  </si>
  <si>
    <t>Private Endpoint Label</t>
  </si>
  <si>
    <t>10.110.252.10</t>
  </si>
  <si>
    <t>adbhost</t>
  </si>
  <si>
    <t>Maintenance Schedule Type</t>
  </si>
  <si>
    <t>REGULAR</t>
  </si>
  <si>
    <t>EARLY</t>
  </si>
  <si>
    <t>Autonomous Database ID</t>
  </si>
  <si>
    <t>atp01</t>
  </si>
  <si>
    <t>ATP02</t>
  </si>
  <si>
    <t>CD3 Automation Toolkit Release - v2026.2.0
Added create and offline tfvars support for ADB and Exadata at GCP, plus ADB export. Exadata export is not included.</t>
  </si>
  <si>
    <t># Rows after &lt;END&gt; will not be processed (Sample data is provided for reference after &lt;END&gt;);
Project - Specify the GCP project ID.
ODB Network Details - New network: CREATE::&lt;ODB-Network-Project&gt;::&lt;Associated-VPC-Network-Name&gt;::&lt;ODB-Network-ID&gt;::&lt;GCP_ORACLE_ZONE&gt;; existing network: &lt;ODB-Network-Project&gt;::&lt;Associated-VPC-Network-Name&gt;::&lt;ODB-Network-ID&gt;. Append ::&lt;GCP_ORACLE_ZONE&gt; to the existing-network format when required.
ODB Network Subnet Details - New subnet: CREATE::&lt;Client_Subnet_ID&gt;::&lt;Client_Subnet_CIDR&gt;; existing subnet: &lt;Client_Subnet_ID&gt;.
To create ADB with secure access from everywhere, leave both network-details columns blank.</t>
  </si>
  <si>
    <t># Rows after &lt;END&gt; will not be processed (Sample data is provided for reference after &lt;END&gt;);
Project - Specify the GCP project ID.
Exadata Infra Display Name - If Exadata Infrastructure is in a different project, use &lt;exa_infra_project&gt;@&lt;exa_infra_display_name&gt;.
ODB Network Details - New network: CREATE::&lt;ODB-Network-Project&gt;::&lt;Associated-VPC-Network-Name&gt;::&lt;ODB-Network-ID&gt;::&lt;GCP_ORACLE_ZONE&gt;; existing network: &lt;ODB-Network-Project&gt;::&lt;Associated-VPC-Network-Name&gt;::&lt;ODB-Network-ID&gt;.
ODB Network Subnets Details - New subnets: CREATE::&lt;Client_Subnet_ID&gt;::&lt;Client_Subnet_CIDR&gt;::&lt;Backup_Subnet_ID&gt;::&lt;Backup_Subnet_CIDR&gt;; existing subnets: &lt;Client_Subnet_ID&gt;::&lt;Client_Subnet_CIDR&gt;::&lt;Backup_Subnet_ID&gt;::&lt;Backup_Subnet_CIDR&gt;.
"Time Zone" - Use the exact case-sensitive value displayed in OCI Console. Examples: Asia/Calcutta | UTC | US/Pacific-New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</si>
</sst>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b/>
      <sz val="11"/>
      <color rgb="FF222222"/>
      <name val="Calibri"/>
      <family val="2"/>
      <scheme val="minor"/>
    </font>
    <font>
      <sz val="10"/>
      <color rgb="FF1D1E23"/>
      <name val="Segoe UI"/>
      <family val="2"/>
    </font>
    <font>
      <sz val="11"/>
      <color rgb="FF9C0006"/>
      <name val="Calibri"/>
      <family val="2"/>
      <scheme val="minor"/>
    </font>
    <font>
      <b/>
      <sz val="11"/>
      <color theme="1"/>
      <name val="Abadi Extra Light"/>
      <family val="2"/>
    </font>
    <font>
      <b/>
      <sz val="10"/>
      <color rgb="FF1D1E23"/>
      <name val="Abadi Extra Light"/>
      <family val="2"/>
    </font>
    <font>
      <u/>
      <sz val="11"/>
      <color theme="10"/>
      <name val="Calibri"/>
      <family val="2"/>
      <scheme val="minor"/>
    </font>
    <font>
      <sz val="10"/>
      <color rgb="FF1F2124"/>
      <name val="Segoe UI"/>
      <family val="2"/>
    </font>
    <font>
      <sz val="11"/>
      <color rgb="FF000000"/>
      <name val="Calibri"/>
      <family val="2"/>
      <scheme val="minor"/>
    </font>
    <font>
      <sz val="9"/>
      <color rgb="FF1D1C1D"/>
      <name val="Arial"/>
      <family val="2"/>
    </font>
    <font>
      <b/>
      <sz val="10"/>
      <color rgb="FF000000"/>
      <name val="Tahoma"/>
      <family val="2"/>
    </font>
    <font>
      <sz val="9.8000000000000007"/>
      <color theme="1"/>
      <name val="JetBrains Mono"/>
      <family val="3"/>
    </font>
    <font>
      <sz val="10"/>
      <color rgb="FF000000"/>
      <name val="Calibri"/>
      <family val="2"/>
      <scheme val="minor"/>
    </font>
    <font>
      <sz val="10"/>
      <color rgb="FF000000"/>
      <name val="Tahoma"/>
      <family val="2"/>
    </font>
    <font>
      <sz val="10"/>
      <color rgb="FF000000"/>
      <name val="Calibri"/>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7CE"/>
      </patternFill>
    </fill>
    <fill>
      <patternFill patternType="solid">
        <fgColor theme="2" tint="-9.9978637043366805E-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4" fillId="8" borderId="0" applyNumberFormat="0" applyBorder="0" applyAlignment="0" applyProtection="0"/>
    <xf numFmtId="0" fontId="7" fillId="0" borderId="0"/>
  </cellStyleXfs>
  <cellXfs count="71">
    <xf numFmtId="0" fontId="0" fillId="0" borderId="0" xfId="0"/>
    <xf numFmtId="0" fontId="0" fillId="0" borderId="0" xfId="0" applyAlignment="1">
      <alignment wrapText="1"/>
    </xf>
    <xf numFmtId="0" fontId="0" fillId="0" borderId="3" xfId="0" applyBorder="1"/>
    <xf numFmtId="0" fontId="1" fillId="4" borderId="8" xfId="0" applyFont="1" applyFill="1" applyBorder="1" applyAlignment="1">
      <alignment horizontal="center" vertical="center"/>
    </xf>
    <xf numFmtId="0" fontId="1" fillId="4" borderId="5" xfId="0" applyFont="1" applyFill="1" applyBorder="1" applyAlignment="1">
      <alignment horizontal="center" vertical="center"/>
    </xf>
    <xf numFmtId="0" fontId="0" fillId="0" borderId="6" xfId="0" applyBorder="1"/>
    <xf numFmtId="0" fontId="0" fillId="0" borderId="7" xfId="0" applyBorder="1"/>
    <xf numFmtId="0" fontId="1" fillId="2" borderId="3" xfId="0" applyFont="1" applyFill="1" applyBorder="1" applyAlignment="1">
      <alignment wrapText="1"/>
    </xf>
    <xf numFmtId="0" fontId="1" fillId="4" borderId="8" xfId="0" applyFont="1" applyFill="1" applyBorder="1" applyAlignment="1">
      <alignment horizontal="center" vertical="center" wrapText="1"/>
    </xf>
    <xf numFmtId="0" fontId="3" fillId="0" borderId="1" xfId="0" applyFont="1" applyBorder="1" applyAlignment="1">
      <alignment wrapText="1"/>
    </xf>
    <xf numFmtId="0" fontId="0" fillId="0" borderId="3" xfId="0" applyBorder="1" applyAlignment="1">
      <alignment wrapText="1"/>
    </xf>
    <xf numFmtId="0" fontId="0" fillId="0" borderId="2" xfId="0" applyBorder="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3" fillId="0" borderId="2" xfId="0" applyFont="1" applyBorder="1" applyAlignment="1">
      <alignment wrapText="1"/>
    </xf>
    <xf numFmtId="0" fontId="0" fillId="0" borderId="9" xfId="0" applyBorder="1"/>
    <xf numFmtId="0" fontId="0" fillId="0" borderId="1" xfId="0" applyBorder="1"/>
    <xf numFmtId="0" fontId="0" fillId="0" borderId="11" xfId="0" applyBorder="1" applyAlignment="1">
      <alignment wrapText="1"/>
    </xf>
    <xf numFmtId="0" fontId="0" fillId="0" borderId="11" xfId="0" applyBorder="1"/>
    <xf numFmtId="0" fontId="0" fillId="0" borderId="11" xfId="0" applyBorder="1" applyAlignment="1">
      <alignment horizontal="center"/>
    </xf>
    <xf numFmtId="0" fontId="1" fillId="0" borderId="0" xfId="0" applyFont="1"/>
    <xf numFmtId="0" fontId="0" fillId="0" borderId="4" xfId="0" applyBorder="1"/>
    <xf numFmtId="0" fontId="0" fillId="0" borderId="11" xfId="0" applyBorder="1" applyProtection="1">
      <protection locked="0"/>
    </xf>
    <xf numFmtId="0" fontId="1" fillId="2" borderId="3" xfId="0" applyFont="1" applyFill="1" applyBorder="1" applyAlignment="1" applyProtection="1">
      <alignment wrapText="1"/>
      <protection locked="0"/>
    </xf>
    <xf numFmtId="0" fontId="0" fillId="7" borderId="11" xfId="0" applyFill="1" applyBorder="1"/>
    <xf numFmtId="0" fontId="0" fillId="7" borderId="11" xfId="0" applyFill="1" applyBorder="1" applyAlignment="1">
      <alignment wrapText="1"/>
    </xf>
    <xf numFmtId="49" fontId="5" fillId="9" borderId="11" xfId="1" applyNumberFormat="1" applyFont="1" applyFill="1" applyBorder="1" applyAlignment="1">
      <alignment horizontal="left" vertical="top" wrapText="1"/>
    </xf>
    <xf numFmtId="49" fontId="1" fillId="0" borderId="11" xfId="0" applyNumberFormat="1" applyFont="1" applyBorder="1" applyAlignment="1">
      <alignment horizontal="left" vertical="top" wrapText="1"/>
    </xf>
    <xf numFmtId="0" fontId="1" fillId="0" borderId="11" xfId="0" applyFont="1" applyBorder="1" applyAlignment="1">
      <alignment horizontal="left" vertical="top"/>
    </xf>
    <xf numFmtId="0" fontId="5" fillId="0" borderId="11" xfId="0" applyFont="1" applyBorder="1" applyAlignment="1">
      <alignment horizontal="left" vertical="top"/>
    </xf>
    <xf numFmtId="49" fontId="5" fillId="0" borderId="11" xfId="0" applyNumberFormat="1" applyFont="1" applyBorder="1" applyAlignment="1">
      <alignment horizontal="left" vertical="top"/>
    </xf>
    <xf numFmtId="0" fontId="6" fillId="0" borderId="11" xfId="0" applyFont="1" applyBorder="1" applyAlignment="1">
      <alignment horizontal="left" vertical="top" wrapText="1"/>
    </xf>
    <xf numFmtId="0" fontId="5" fillId="0" borderId="11" xfId="0" applyFont="1" applyBorder="1" applyAlignment="1">
      <alignment horizontal="left" vertical="top" wrapText="1"/>
    </xf>
    <xf numFmtId="0" fontId="1" fillId="0" borderId="11" xfId="0" applyFont="1" applyBorder="1" applyAlignment="1">
      <alignment horizontal="left" vertical="top" wrapText="1"/>
    </xf>
    <xf numFmtId="0" fontId="0" fillId="0" borderId="11" xfId="0" applyBorder="1" applyAlignment="1">
      <alignment horizontal="left" vertical="top"/>
    </xf>
    <xf numFmtId="49" fontId="4" fillId="8" borderId="11" xfId="1" applyNumberFormat="1" applyBorder="1" applyAlignment="1">
      <alignment horizontal="left" vertical="top" wrapText="1"/>
    </xf>
    <xf numFmtId="0" fontId="0" fillId="6" borderId="12" xfId="0" applyFill="1" applyBorder="1" applyAlignment="1">
      <alignment horizontal="center" vertical="center" wrapText="1"/>
    </xf>
    <xf numFmtId="0" fontId="1" fillId="2" borderId="3" xfId="0" applyFont="1" applyFill="1" applyBorder="1" applyAlignment="1" applyProtection="1">
      <alignment wrapText="1"/>
      <protection hidden="1"/>
    </xf>
    <xf numFmtId="0" fontId="0" fillId="7" borderId="11" xfId="0" applyFill="1" applyBorder="1" applyProtection="1">
      <protection locked="0"/>
    </xf>
    <xf numFmtId="0" fontId="1" fillId="10" borderId="11" xfId="0" applyFont="1" applyFill="1" applyBorder="1"/>
    <xf numFmtId="0" fontId="1" fillId="10" borderId="11" xfId="0" applyFont="1" applyFill="1" applyBorder="1" applyProtection="1">
      <protection locked="0"/>
    </xf>
    <xf numFmtId="0" fontId="2" fillId="10" borderId="11" xfId="0" applyFont="1" applyFill="1" applyBorder="1" applyAlignment="1" applyProtection="1">
      <alignment vertical="center"/>
      <protection locked="0"/>
    </xf>
    <xf numFmtId="0" fontId="1" fillId="10" borderId="11" xfId="0" applyFont="1" applyFill="1" applyBorder="1" applyAlignment="1">
      <alignment wrapText="1"/>
    </xf>
    <xf numFmtId="0" fontId="0" fillId="0" borderId="0" xfId="0" applyAlignment="1">
      <alignment vertical="center"/>
    </xf>
    <xf numFmtId="0" fontId="8" fillId="0" borderId="11" xfId="0" applyFont="1" applyBorder="1"/>
    <xf numFmtId="0" fontId="9" fillId="0" borderId="0" xfId="0" applyFont="1" applyAlignment="1">
      <alignment vertical="center"/>
    </xf>
    <xf numFmtId="49" fontId="1" fillId="3" borderId="11" xfId="1" applyNumberFormat="1" applyFont="1" applyFill="1" applyBorder="1" applyAlignment="1">
      <alignment horizontal="left" vertical="top" wrapText="1"/>
    </xf>
    <xf numFmtId="0" fontId="1" fillId="2" borderId="3" xfId="0" applyFont="1" applyFill="1" applyBorder="1" applyAlignment="1" applyProtection="1">
      <alignment vertical="center" wrapText="1"/>
      <protection locked="0"/>
    </xf>
    <xf numFmtId="0" fontId="2" fillId="2" borderId="3" xfId="0" applyFont="1" applyFill="1" applyBorder="1" applyAlignment="1" applyProtection="1">
      <alignment vertical="center" wrapText="1"/>
      <protection locked="0"/>
    </xf>
    <xf numFmtId="0" fontId="1" fillId="2" borderId="3" xfId="0" applyFont="1" applyFill="1" applyBorder="1" applyAlignment="1">
      <alignment vertical="center" wrapText="1"/>
    </xf>
    <xf numFmtId="0" fontId="0" fillId="0" borderId="0" xfId="0" applyProtection="1">
      <protection locked="0"/>
    </xf>
    <xf numFmtId="0" fontId="1" fillId="0" borderId="0" xfId="0" applyFont="1" applyAlignment="1">
      <alignment vertical="top" wrapText="1"/>
    </xf>
    <xf numFmtId="0" fontId="1" fillId="2" borderId="11" xfId="0" applyFont="1" applyFill="1" applyBorder="1" applyAlignment="1">
      <alignment vertical="center" wrapText="1"/>
    </xf>
    <xf numFmtId="0" fontId="1" fillId="0" borderId="0" xfId="0" applyFont="1" applyAlignment="1">
      <alignment vertical="center" wrapText="1"/>
    </xf>
    <xf numFmtId="0" fontId="10" fillId="7" borderId="11" xfId="0" applyFont="1" applyFill="1" applyBorder="1"/>
    <xf numFmtId="0" fontId="0" fillId="0" borderId="0" xfId="0" quotePrefix="1"/>
    <xf numFmtId="0" fontId="1" fillId="0" borderId="3" xfId="0" applyFont="1" applyBorder="1" applyAlignment="1" applyProtection="1">
      <alignment vertical="center" wrapText="1"/>
      <protection locked="0"/>
    </xf>
    <xf numFmtId="0" fontId="2" fillId="0" borderId="3" xfId="0" applyFont="1" applyBorder="1" applyAlignment="1" applyProtection="1">
      <alignment vertical="center" wrapText="1"/>
      <protection locked="0"/>
    </xf>
    <xf numFmtId="0" fontId="1" fillId="0" borderId="3" xfId="0" applyFont="1" applyBorder="1" applyAlignment="1">
      <alignment vertical="center" wrapText="1"/>
    </xf>
    <xf numFmtId="0" fontId="0" fillId="0" borderId="3" xfId="0" applyBorder="1" applyAlignment="1" applyProtection="1">
      <alignment vertical="center" wrapText="1"/>
      <protection locked="0"/>
    </xf>
    <xf numFmtId="0" fontId="12" fillId="7" borderId="11" xfId="0" applyFont="1" applyFill="1" applyBorder="1" applyAlignment="1">
      <alignment wrapText="1"/>
    </xf>
    <xf numFmtId="0" fontId="1" fillId="2" borderId="11" xfId="0" applyFont="1" applyFill="1" applyBorder="1" applyAlignment="1" applyProtection="1">
      <alignment vertical="center" wrapText="1"/>
      <protection locked="0"/>
    </xf>
    <xf numFmtId="0" fontId="0" fillId="0" borderId="11" xfId="0" applyBorder="1" applyAlignment="1" applyProtection="1">
      <alignment vertical="center" wrapText="1"/>
      <protection locked="0"/>
    </xf>
    <xf numFmtId="0" fontId="1" fillId="0" borderId="11" xfId="0" applyFont="1" applyBorder="1" applyAlignment="1" applyProtection="1">
      <alignment vertical="center" wrapText="1"/>
      <protection locked="0"/>
    </xf>
    <xf numFmtId="0" fontId="2" fillId="0" borderId="11" xfId="0" applyFont="1" applyBorder="1" applyAlignment="1" applyProtection="1">
      <alignment vertical="center" wrapText="1"/>
      <protection locked="0"/>
    </xf>
    <xf numFmtId="0" fontId="1" fillId="0" borderId="11" xfId="0" applyFont="1" applyBorder="1" applyAlignment="1">
      <alignment vertical="center" wrapText="1"/>
    </xf>
    <xf numFmtId="0" fontId="1" fillId="2" borderId="11" xfId="0" applyFont="1" applyFill="1" applyBorder="1" applyAlignment="1" applyProtection="1">
      <alignment vertical="center" wrapText="1"/>
      <protection hidden="1"/>
    </xf>
    <xf numFmtId="0" fontId="1" fillId="5" borderId="10" xfId="0" applyFont="1" applyFill="1" applyBorder="1" applyAlignment="1">
      <alignment horizontal="left" vertical="top" wrapText="1"/>
    </xf>
    <xf numFmtId="0" fontId="1" fillId="5" borderId="4" xfId="0" applyFont="1" applyFill="1" applyBorder="1" applyAlignment="1">
      <alignment horizontal="left" vertical="top" wrapText="1"/>
    </xf>
    <xf numFmtId="0" fontId="1" fillId="5" borderId="5" xfId="0" applyFont="1" applyFill="1" applyBorder="1" applyAlignment="1">
      <alignment horizontal="left" vertical="top" wrapText="1"/>
    </xf>
    <xf numFmtId="0" fontId="1" fillId="5" borderId="7" xfId="0" applyFont="1" applyFill="1" applyBorder="1" applyAlignment="1">
      <alignment horizontal="left" vertical="top" wrapText="1"/>
    </xf>
  </cellXfs>
  <cellStyles count="3">
    <cellStyle name="Bad" xfId="1" builtinId="27"/>
    <cellStyle name="Hyperlink 2" xfId="2" xr:uid="{00000000-0005-0000-0000-000001000000}"/>
    <cellStyle name="Normal" xfId="0" builtinId="0"/>
  </cellStyles>
  <dxfs count="0"/>
  <tableStyles count="0" defaultTableStyle="TableStyleMedium2" defaultPivotStyle="PivotStyleMedium9"/>
  <colors>
    <mruColors>
      <color rgb="FF009193"/>
      <color rgb="FF73FEFF"/>
      <color rgb="FF00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CD3%20sample/cd3_dropdown/CD3-DRGv2-template%20_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CD3%20sample/cd3_dropdown/CD3-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lasyavadavalli/PycharmProjects/oci/cd3_automation_toolkit/example/CD3-HubSpoke-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USINGLA/Desktop/CD3-karti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rop_down_rule_set"/>
      <sheetName val="drop_down_rule_comp"/>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sheetData sheetId="29"/>
      <sheetData sheetId="30">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ADW_ATP"/>
      <sheetName val="DB_System_VM"/>
      <sheetName val="DB_System_BM"/>
      <sheetName val="DB_System_EXA"/>
      <sheetName val="drop_down_rule_set"/>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2"/>
  <sheetViews>
    <sheetView tabSelected="1" zoomScaleNormal="100" workbookViewId="0">
      <selection activeCell="A2" sqref="A2"/>
    </sheetView>
  </sheetViews>
  <sheetFormatPr baseColWidth="10" defaultColWidth="8.83203125" defaultRowHeight="15"/>
  <cols>
    <col min="1" max="1" width="167.1640625" customWidth="1"/>
  </cols>
  <sheetData>
    <row r="1" spans="1:1" ht="16" thickBot="1"/>
    <row r="2" spans="1:1" ht="59.25" customHeight="1" thickBot="1">
      <c r="A2" s="36" t="s">
        <v>560</v>
      </c>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3FDF1-AA92-3148-8314-3B79B3648A4C}">
  <sheetPr>
    <tabColor theme="8" tint="0.59999389629810485"/>
  </sheetPr>
  <dimension ref="A1:S4"/>
  <sheetViews>
    <sheetView zoomScale="113" zoomScaleNormal="90" workbookViewId="0">
      <selection sqref="A1:S1"/>
    </sheetView>
  </sheetViews>
  <sheetFormatPr baseColWidth="10" defaultColWidth="8.83203125" defaultRowHeight="15"/>
  <cols>
    <col min="2" max="2" width="13.5" customWidth="1"/>
    <col min="4" max="4" width="12" customWidth="1"/>
    <col min="5" max="5" width="9.6640625" customWidth="1"/>
    <col min="6" max="6" width="8.83203125" customWidth="1"/>
    <col min="7" max="7" width="8.33203125" customWidth="1"/>
    <col min="8" max="8" width="9.1640625" customWidth="1"/>
    <col min="9" max="13" width="10.83203125" customWidth="1"/>
  </cols>
  <sheetData>
    <row r="1" spans="1:19" ht="79" customHeight="1">
      <c r="A1" s="67" t="s">
        <v>474</v>
      </c>
      <c r="B1" s="67"/>
      <c r="C1" s="67"/>
      <c r="D1" s="67"/>
      <c r="E1" s="67"/>
      <c r="F1" s="67"/>
      <c r="G1" s="67"/>
      <c r="H1" s="67"/>
      <c r="I1" s="67"/>
      <c r="J1" s="67"/>
      <c r="K1" s="67"/>
      <c r="L1" s="67"/>
      <c r="M1" s="67"/>
      <c r="N1" s="67"/>
      <c r="O1" s="67"/>
      <c r="P1" s="67"/>
      <c r="Q1" s="67"/>
      <c r="R1" s="67"/>
      <c r="S1" s="67"/>
    </row>
    <row r="2" spans="1:19" ht="80">
      <c r="A2" s="7" t="s">
        <v>0</v>
      </c>
      <c r="B2" s="7" t="s">
        <v>477</v>
      </c>
      <c r="C2" s="7" t="s">
        <v>180</v>
      </c>
      <c r="D2" s="7" t="s">
        <v>375</v>
      </c>
      <c r="E2" s="7" t="s">
        <v>110</v>
      </c>
      <c r="F2" s="37" t="s">
        <v>90</v>
      </c>
      <c r="G2" s="37" t="s">
        <v>461</v>
      </c>
      <c r="H2" s="7" t="s">
        <v>460</v>
      </c>
      <c r="I2" s="7" t="s">
        <v>467</v>
      </c>
      <c r="J2" s="7" t="s">
        <v>181</v>
      </c>
      <c r="K2" s="7" t="s">
        <v>179</v>
      </c>
      <c r="L2" s="23" t="s">
        <v>95</v>
      </c>
      <c r="M2" s="23" t="s">
        <v>96</v>
      </c>
      <c r="N2" s="23" t="s">
        <v>463</v>
      </c>
      <c r="O2" s="23" t="s">
        <v>464</v>
      </c>
      <c r="P2" s="23" t="s">
        <v>465</v>
      </c>
      <c r="Q2" s="23" t="s">
        <v>466</v>
      </c>
      <c r="R2" s="23" t="s">
        <v>473</v>
      </c>
      <c r="S2" s="7" t="s">
        <v>462</v>
      </c>
    </row>
    <row r="3" spans="1:19" ht="63" customHeight="1">
      <c r="A3" s="24" t="s">
        <v>468</v>
      </c>
      <c r="B3" s="24" t="s">
        <v>469</v>
      </c>
      <c r="C3" s="24" t="s">
        <v>182</v>
      </c>
      <c r="D3" s="25" t="s">
        <v>470</v>
      </c>
      <c r="E3" s="24" t="s">
        <v>471</v>
      </c>
      <c r="F3" s="38" t="s">
        <v>98</v>
      </c>
      <c r="G3" s="38" t="s">
        <v>472</v>
      </c>
      <c r="H3" s="24">
        <v>2</v>
      </c>
      <c r="I3" s="24">
        <v>1</v>
      </c>
      <c r="J3" s="24" t="s">
        <v>94</v>
      </c>
      <c r="K3" s="25" t="s">
        <v>225</v>
      </c>
      <c r="L3" s="24" t="s">
        <v>100</v>
      </c>
      <c r="M3" s="24" t="s">
        <v>101</v>
      </c>
      <c r="N3" s="24">
        <v>10</v>
      </c>
      <c r="O3" s="24" t="b">
        <v>0</v>
      </c>
      <c r="P3" s="24" t="b">
        <v>0</v>
      </c>
      <c r="Q3" s="24" t="b">
        <v>0</v>
      </c>
      <c r="R3" s="25" t="s">
        <v>475</v>
      </c>
      <c r="S3" s="25" t="s">
        <v>476</v>
      </c>
    </row>
    <row r="4" spans="1:19">
      <c r="A4" t="s">
        <v>1</v>
      </c>
    </row>
  </sheetData>
  <mergeCells count="1">
    <mergeCell ref="A1:S1"/>
  </mergeCells>
  <dataValidations count="1">
    <dataValidation allowBlank="1" sqref="C1:C1048576 N4:XFD1048576 S1:XFD3 D1:D2 J1:R2 A1:B2 E4:F1048576 E1:I3" xr:uid="{06A19472-B27C-754D-9430-8D11DFA430B4}"/>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5">
        <x14:dataValidation type="list" allowBlank="1" xr:uid="{9FDFAF2B-5FD1-3645-825C-D87A32FAA33F}">
          <x14:formula1>
            <xm:f>INDIRECT("drop_down_rule_set!$I$2:$I$"&amp;drop_down_rule_set!$G$3+1)</xm:f>
          </x14:formula1>
          <xm:sqref>D4:D1048576</xm:sqref>
        </x14:dataValidation>
        <x14:dataValidation type="list" allowBlank="1" xr:uid="{30CEE77C-0C22-F047-A97F-26C489991513}">
          <x14:formula1>
            <xm:f>INDIRECT("drop_down_rule_comp!$D$2:$D$"&amp;drop_down_rule_comp!$C$3+1)</xm:f>
          </x14:formula1>
          <xm:sqref>B4:B1048576</xm:sqref>
        </x14:dataValidation>
        <x14:dataValidation type="list" allowBlank="1" xr:uid="{73C0D6CE-FA39-3B48-A018-6AB36CD54973}">
          <x14:formula1>
            <xm:f>Database_Dropdown!$G$2:$G$3</xm:f>
          </x14:formula1>
          <xm:sqref>I4:M1048576</xm:sqref>
        </x14:dataValidation>
        <x14:dataValidation type="list" allowBlank="1" prompt="Select an OCI Region." xr:uid="{17411749-A569-FF4E-B60F-47C263DF2946}">
          <x14:formula1>
            <xm:f>Database_Dropdown!$F$2:$F$3</xm:f>
          </x14:formula1>
          <xm:sqref>H4:H1048576</xm:sqref>
        </x14:dataValidation>
        <x14:dataValidation type="list" allowBlank="1" xr:uid="{E2B7120C-4CF4-1644-8B13-5B5A2F6B35FC}">
          <x14:formula1>
            <xm:f>Database_Dropdown!$L$2:$L$5</xm:f>
          </x14:formula1>
          <xm:sqref>G4:G1048576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20947-18B9-EF42-BC6B-2093FE6C3D90}">
  <sheetPr>
    <tabColor theme="8" tint="0.59999389629810485"/>
  </sheetPr>
  <dimension ref="A1:Y923"/>
  <sheetViews>
    <sheetView workbookViewId="0">
      <selection activeCell="C4" sqref="C4"/>
    </sheetView>
  </sheetViews>
  <sheetFormatPr baseColWidth="10" defaultColWidth="8.5" defaultRowHeight="15"/>
  <cols>
    <col min="1" max="1" width="10.5" bestFit="1" customWidth="1"/>
    <col min="2" max="2" width="13.33203125" customWidth="1"/>
    <col min="3" max="3" width="10.33203125" customWidth="1"/>
    <col min="4" max="4" width="10.83203125" customWidth="1"/>
    <col min="5" max="5" width="21.1640625" customWidth="1"/>
    <col min="6" max="6" width="18" customWidth="1"/>
    <col min="7" max="8" width="13.5" customWidth="1"/>
    <col min="9" max="9" width="9.33203125" customWidth="1"/>
    <col min="11" max="11" width="12.6640625" bestFit="1" customWidth="1"/>
    <col min="12" max="12" width="11.5" customWidth="1"/>
    <col min="13" max="14" width="11.33203125" customWidth="1"/>
    <col min="15" max="15" width="9.5" customWidth="1"/>
    <col min="16" max="16" width="11.5" customWidth="1"/>
    <col min="17" max="17" width="14.6640625" customWidth="1"/>
    <col min="18" max="19" width="11.5" customWidth="1"/>
    <col min="20" max="20" width="19.5" bestFit="1" customWidth="1"/>
    <col min="21" max="21" width="20.1640625" customWidth="1"/>
    <col min="22" max="22" width="11.5" customWidth="1"/>
    <col min="23" max="23" width="9.83203125" customWidth="1"/>
    <col min="24" max="24" width="14" bestFit="1" customWidth="1"/>
    <col min="25" max="25" width="20.5" bestFit="1" customWidth="1"/>
  </cols>
  <sheetData>
    <row r="1" spans="1:25" ht="125" customHeight="1">
      <c r="A1" s="68" t="s">
        <v>561</v>
      </c>
      <c r="B1" s="68"/>
      <c r="C1" s="68"/>
      <c r="D1" s="68"/>
      <c r="E1" s="68"/>
      <c r="F1" s="68"/>
      <c r="G1" s="68"/>
      <c r="H1" s="68"/>
      <c r="I1" s="68"/>
      <c r="J1" s="68"/>
      <c r="K1" s="68"/>
      <c r="L1" s="68"/>
      <c r="M1" s="68"/>
      <c r="N1" s="68"/>
      <c r="O1" s="68"/>
      <c r="P1" s="68"/>
      <c r="Q1" s="68"/>
      <c r="R1" s="68"/>
      <c r="S1" s="68"/>
      <c r="T1" s="68"/>
      <c r="U1" s="68"/>
      <c r="V1" s="68"/>
      <c r="W1" s="68"/>
      <c r="X1" s="68"/>
      <c r="Y1" s="68"/>
    </row>
    <row r="2" spans="1:25" s="43" customFormat="1" ht="68" customHeight="1">
      <c r="A2" s="61" t="s">
        <v>498</v>
      </c>
      <c r="B2" s="61" t="s">
        <v>500</v>
      </c>
      <c r="C2" s="52" t="s">
        <v>180</v>
      </c>
      <c r="D2" s="52" t="s">
        <v>557</v>
      </c>
      <c r="E2" s="52" t="s">
        <v>513</v>
      </c>
      <c r="F2" s="52" t="s">
        <v>538</v>
      </c>
      <c r="G2" s="52" t="s">
        <v>550</v>
      </c>
      <c r="H2" s="52" t="s">
        <v>551</v>
      </c>
      <c r="I2" s="52" t="s">
        <v>545</v>
      </c>
      <c r="J2" s="52" t="s">
        <v>110</v>
      </c>
      <c r="K2" s="66" t="s">
        <v>90</v>
      </c>
      <c r="L2" s="52" t="s">
        <v>460</v>
      </c>
      <c r="M2" s="52" t="s">
        <v>510</v>
      </c>
      <c r="N2" s="52" t="s">
        <v>549</v>
      </c>
      <c r="O2" s="52" t="s">
        <v>181</v>
      </c>
      <c r="P2" s="52" t="s">
        <v>506</v>
      </c>
      <c r="Q2" s="61" t="s">
        <v>95</v>
      </c>
      <c r="R2" s="61" t="s">
        <v>96</v>
      </c>
      <c r="S2" s="61" t="s">
        <v>463</v>
      </c>
      <c r="T2" s="61" t="s">
        <v>543</v>
      </c>
      <c r="U2" s="61" t="s">
        <v>542</v>
      </c>
      <c r="V2" s="61" t="s">
        <v>554</v>
      </c>
      <c r="W2" s="61" t="s">
        <v>466</v>
      </c>
      <c r="X2" s="61" t="s">
        <v>503</v>
      </c>
      <c r="Y2" s="52" t="s">
        <v>501</v>
      </c>
    </row>
    <row r="3" spans="1:25" ht="64">
      <c r="A3" s="24" t="s">
        <v>514</v>
      </c>
      <c r="B3" s="24" t="s">
        <v>539</v>
      </c>
      <c r="C3" s="24" t="s">
        <v>548</v>
      </c>
      <c r="D3" s="24" t="s">
        <v>558</v>
      </c>
      <c r="E3" s="25" t="s">
        <v>532</v>
      </c>
      <c r="F3" s="25" t="s">
        <v>540</v>
      </c>
      <c r="G3" s="25" t="s">
        <v>552</v>
      </c>
      <c r="H3" s="25" t="s">
        <v>553</v>
      </c>
      <c r="I3" s="24" t="s">
        <v>546</v>
      </c>
      <c r="J3" s="24" t="s">
        <v>471</v>
      </c>
      <c r="K3" s="38" t="s">
        <v>98</v>
      </c>
      <c r="L3" s="24">
        <v>2</v>
      </c>
      <c r="M3" s="24">
        <v>1</v>
      </c>
      <c r="N3" s="24" t="s">
        <v>112</v>
      </c>
      <c r="O3" s="24" t="s">
        <v>94</v>
      </c>
      <c r="P3" s="25" t="s">
        <v>225</v>
      </c>
      <c r="Q3" s="24" t="s">
        <v>100</v>
      </c>
      <c r="R3" s="24" t="s">
        <v>101</v>
      </c>
      <c r="S3" s="24">
        <v>10</v>
      </c>
      <c r="T3" s="24" t="b">
        <v>0</v>
      </c>
      <c r="U3" s="24" t="b">
        <v>0</v>
      </c>
      <c r="V3" s="24" t="s">
        <v>555</v>
      </c>
      <c r="W3" s="24" t="b">
        <v>0</v>
      </c>
      <c r="X3" s="24" t="s">
        <v>520</v>
      </c>
      <c r="Y3" s="24" t="s">
        <v>476</v>
      </c>
    </row>
    <row r="4" spans="1:25" ht="48">
      <c r="A4" s="24" t="s">
        <v>514</v>
      </c>
      <c r="B4" s="24" t="s">
        <v>539</v>
      </c>
      <c r="C4" s="24" t="s">
        <v>559</v>
      </c>
      <c r="D4" s="24"/>
      <c r="E4" s="25"/>
      <c r="F4" s="25"/>
      <c r="G4" s="25"/>
      <c r="H4" s="25"/>
      <c r="I4" s="24" t="s">
        <v>547</v>
      </c>
      <c r="J4" s="24" t="s">
        <v>471</v>
      </c>
      <c r="K4" s="38" t="s">
        <v>98</v>
      </c>
      <c r="L4" s="24">
        <v>2</v>
      </c>
      <c r="M4" s="24">
        <v>1</v>
      </c>
      <c r="N4" s="24" t="s">
        <v>104</v>
      </c>
      <c r="O4" s="24" t="s">
        <v>544</v>
      </c>
      <c r="P4" s="25" t="s">
        <v>225</v>
      </c>
      <c r="Q4" s="24" t="s">
        <v>100</v>
      </c>
      <c r="R4" s="24" t="s">
        <v>101</v>
      </c>
      <c r="S4" s="24">
        <v>10</v>
      </c>
      <c r="T4" s="24" t="b">
        <v>1</v>
      </c>
      <c r="U4" s="24" t="b">
        <v>1</v>
      </c>
      <c r="V4" s="24" t="s">
        <v>556</v>
      </c>
      <c r="W4" s="24" t="b">
        <v>1</v>
      </c>
      <c r="X4" s="24" t="s">
        <v>520</v>
      </c>
      <c r="Y4" s="24" t="s">
        <v>476</v>
      </c>
    </row>
    <row r="5" spans="1:25" ht="16">
      <c r="A5" s="62" t="s">
        <v>1</v>
      </c>
      <c r="B5" s="63"/>
      <c r="C5" s="64"/>
      <c r="D5" s="64"/>
      <c r="E5" s="63"/>
      <c r="F5" s="63"/>
      <c r="G5" s="63"/>
      <c r="H5" s="63"/>
      <c r="I5" s="63"/>
      <c r="J5" s="63"/>
      <c r="K5" s="63"/>
      <c r="L5" s="63"/>
      <c r="M5" s="63"/>
      <c r="N5" s="63"/>
      <c r="O5" s="63"/>
      <c r="P5" s="63"/>
      <c r="Q5" s="63"/>
      <c r="R5" s="63"/>
      <c r="S5" s="63"/>
      <c r="T5" s="63"/>
      <c r="U5" s="65"/>
      <c r="V5" s="18"/>
      <c r="W5" s="18"/>
      <c r="X5" s="18"/>
      <c r="Y5" s="18"/>
    </row>
    <row r="6" spans="1:25">
      <c r="E6" s="50"/>
    </row>
    <row r="7" spans="1:25">
      <c r="E7" s="50"/>
    </row>
    <row r="8" spans="1:25">
      <c r="E8" s="50"/>
    </row>
    <row r="9" spans="1:25">
      <c r="E9" s="50"/>
    </row>
    <row r="10" spans="1:25">
      <c r="E10" s="50"/>
      <c r="S10" s="55" t="s">
        <v>502</v>
      </c>
    </row>
    <row r="11" spans="1:25">
      <c r="E11" s="50"/>
    </row>
    <row r="12" spans="1:25">
      <c r="E12" s="50"/>
    </row>
    <row r="13" spans="1:25">
      <c r="E13" s="50"/>
    </row>
    <row r="14" spans="1:25">
      <c r="E14" s="50"/>
    </row>
    <row r="15" spans="1:25">
      <c r="E15" s="50"/>
    </row>
    <row r="16" spans="1:25">
      <c r="E16" s="50"/>
    </row>
    <row r="17" spans="5:5">
      <c r="E17" s="50"/>
    </row>
    <row r="18" spans="5:5">
      <c r="E18" s="50"/>
    </row>
    <row r="19" spans="5:5">
      <c r="E19" s="50"/>
    </row>
    <row r="20" spans="5:5">
      <c r="E20" s="50"/>
    </row>
    <row r="21" spans="5:5">
      <c r="E21" s="50"/>
    </row>
    <row r="22" spans="5:5">
      <c r="E22" s="50"/>
    </row>
    <row r="23" spans="5:5">
      <c r="E23" s="50"/>
    </row>
    <row r="24" spans="5:5">
      <c r="E24" s="50"/>
    </row>
    <row r="25" spans="5:5">
      <c r="E25" s="50"/>
    </row>
    <row r="26" spans="5:5">
      <c r="E26" s="50"/>
    </row>
    <row r="27" spans="5:5">
      <c r="E27" s="50"/>
    </row>
    <row r="28" spans="5:5">
      <c r="E28" s="50"/>
    </row>
    <row r="29" spans="5:5">
      <c r="E29" s="50"/>
    </row>
    <row r="30" spans="5:5">
      <c r="E30" s="50"/>
    </row>
    <row r="31" spans="5:5">
      <c r="E31" s="50"/>
    </row>
    <row r="32" spans="5:5">
      <c r="E32" s="50"/>
    </row>
    <row r="33" spans="5:5">
      <c r="E33" s="50"/>
    </row>
    <row r="34" spans="5:5">
      <c r="E34" s="50"/>
    </row>
    <row r="35" spans="5:5">
      <c r="E35" s="50"/>
    </row>
    <row r="36" spans="5:5">
      <c r="E36" s="50"/>
    </row>
    <row r="37" spans="5:5">
      <c r="E37" s="50"/>
    </row>
    <row r="38" spans="5:5">
      <c r="E38" s="50"/>
    </row>
    <row r="39" spans="5:5">
      <c r="E39" s="50"/>
    </row>
    <row r="40" spans="5:5">
      <c r="E40" s="50"/>
    </row>
    <row r="41" spans="5:5">
      <c r="E41" s="50"/>
    </row>
    <row r="42" spans="5:5">
      <c r="E42" s="50"/>
    </row>
    <row r="43" spans="5:5">
      <c r="E43" s="50"/>
    </row>
    <row r="44" spans="5:5">
      <c r="E44" s="50"/>
    </row>
    <row r="45" spans="5:5">
      <c r="E45" s="50"/>
    </row>
    <row r="46" spans="5:5">
      <c r="E46" s="50"/>
    </row>
    <row r="47" spans="5:5">
      <c r="E47" s="50"/>
    </row>
    <row r="48" spans="5:5">
      <c r="E48" s="50"/>
    </row>
    <row r="49" spans="5:5">
      <c r="E49" s="50"/>
    </row>
    <row r="50" spans="5:5">
      <c r="E50" s="50"/>
    </row>
    <row r="51" spans="5:5">
      <c r="E51" s="50"/>
    </row>
    <row r="52" spans="5:5">
      <c r="E52" s="50"/>
    </row>
    <row r="53" spans="5:5">
      <c r="E53" s="50"/>
    </row>
    <row r="54" spans="5:5">
      <c r="E54" s="50"/>
    </row>
    <row r="55" spans="5:5">
      <c r="E55" s="50"/>
    </row>
    <row r="56" spans="5:5">
      <c r="E56" s="50"/>
    </row>
    <row r="57" spans="5:5">
      <c r="E57" s="50"/>
    </row>
    <row r="58" spans="5:5">
      <c r="E58" s="50"/>
    </row>
    <row r="59" spans="5:5">
      <c r="E59" s="50"/>
    </row>
    <row r="60" spans="5:5">
      <c r="E60" s="50"/>
    </row>
    <row r="61" spans="5:5">
      <c r="E61" s="50"/>
    </row>
    <row r="62" spans="5:5">
      <c r="E62" s="50"/>
    </row>
    <row r="63" spans="5:5">
      <c r="E63" s="50"/>
    </row>
    <row r="64" spans="5:5">
      <c r="E64" s="50"/>
    </row>
    <row r="65" spans="5:5">
      <c r="E65" s="50"/>
    </row>
    <row r="66" spans="5:5">
      <c r="E66" s="50"/>
    </row>
    <row r="67" spans="5:5">
      <c r="E67" s="50"/>
    </row>
    <row r="68" spans="5:5">
      <c r="E68" s="50"/>
    </row>
    <row r="69" spans="5:5">
      <c r="E69" s="50"/>
    </row>
    <row r="70" spans="5:5">
      <c r="E70" s="50"/>
    </row>
    <row r="71" spans="5:5">
      <c r="E71" s="50"/>
    </row>
    <row r="72" spans="5:5">
      <c r="E72" s="50"/>
    </row>
    <row r="73" spans="5:5">
      <c r="E73" s="50"/>
    </row>
    <row r="74" spans="5:5">
      <c r="E74" s="50"/>
    </row>
    <row r="75" spans="5:5">
      <c r="E75" s="50"/>
    </row>
    <row r="76" spans="5:5">
      <c r="E76" s="50"/>
    </row>
    <row r="77" spans="5:5">
      <c r="E77" s="50"/>
    </row>
    <row r="78" spans="5:5">
      <c r="E78" s="50"/>
    </row>
    <row r="79" spans="5:5">
      <c r="E79" s="50"/>
    </row>
    <row r="80" spans="5:5">
      <c r="E80" s="50"/>
    </row>
    <row r="81" spans="5:5">
      <c r="E81" s="50"/>
    </row>
    <row r="82" spans="5:5">
      <c r="E82" s="50"/>
    </row>
    <row r="83" spans="5:5">
      <c r="E83" s="50"/>
    </row>
    <row r="84" spans="5:5">
      <c r="E84" s="50"/>
    </row>
    <row r="85" spans="5:5">
      <c r="E85" s="50"/>
    </row>
    <row r="86" spans="5:5">
      <c r="E86" s="50"/>
    </row>
    <row r="87" spans="5:5">
      <c r="E87" s="50"/>
    </row>
    <row r="88" spans="5:5">
      <c r="E88" s="50"/>
    </row>
    <row r="89" spans="5:5">
      <c r="E89" s="50"/>
    </row>
    <row r="90" spans="5:5">
      <c r="E90" s="50"/>
    </row>
    <row r="91" spans="5:5">
      <c r="E91" s="50"/>
    </row>
    <row r="92" spans="5:5">
      <c r="E92" s="50"/>
    </row>
    <row r="93" spans="5:5">
      <c r="E93" s="50"/>
    </row>
    <row r="94" spans="5:5">
      <c r="E94" s="50"/>
    </row>
    <row r="95" spans="5:5">
      <c r="E95" s="50"/>
    </row>
    <row r="96" spans="5:5">
      <c r="E96" s="50"/>
    </row>
    <row r="97" spans="5:5">
      <c r="E97" s="50"/>
    </row>
    <row r="98" spans="5:5">
      <c r="E98" s="50"/>
    </row>
    <row r="99" spans="5:5">
      <c r="E99" s="50"/>
    </row>
    <row r="100" spans="5:5">
      <c r="E100" s="50"/>
    </row>
    <row r="101" spans="5:5">
      <c r="E101" s="50"/>
    </row>
    <row r="102" spans="5:5">
      <c r="E102" s="50"/>
    </row>
    <row r="103" spans="5:5">
      <c r="E103" s="50"/>
    </row>
    <row r="104" spans="5:5">
      <c r="E104" s="50"/>
    </row>
    <row r="105" spans="5:5">
      <c r="E105" s="50"/>
    </row>
    <row r="106" spans="5:5">
      <c r="E106" s="50"/>
    </row>
    <row r="107" spans="5:5">
      <c r="E107" s="50"/>
    </row>
    <row r="108" spans="5:5">
      <c r="E108" s="50"/>
    </row>
    <row r="109" spans="5:5">
      <c r="E109" s="50"/>
    </row>
    <row r="110" spans="5:5">
      <c r="E110" s="50"/>
    </row>
    <row r="111" spans="5:5">
      <c r="E111" s="50"/>
    </row>
    <row r="112" spans="5:5">
      <c r="E112" s="50"/>
    </row>
    <row r="113" spans="5:5">
      <c r="E113" s="50"/>
    </row>
    <row r="114" spans="5:5">
      <c r="E114" s="50"/>
    </row>
    <row r="115" spans="5:5">
      <c r="E115" s="50"/>
    </row>
    <row r="116" spans="5:5">
      <c r="E116" s="50"/>
    </row>
    <row r="117" spans="5:5">
      <c r="E117" s="50"/>
    </row>
    <row r="118" spans="5:5">
      <c r="E118" s="50"/>
    </row>
    <row r="119" spans="5:5">
      <c r="E119" s="50"/>
    </row>
    <row r="120" spans="5:5">
      <c r="E120" s="50"/>
    </row>
    <row r="121" spans="5:5">
      <c r="E121" s="50"/>
    </row>
    <row r="122" spans="5:5">
      <c r="E122" s="50"/>
    </row>
    <row r="123" spans="5:5">
      <c r="E123" s="50"/>
    </row>
    <row r="124" spans="5:5">
      <c r="E124" s="50"/>
    </row>
    <row r="125" spans="5:5">
      <c r="E125" s="50"/>
    </row>
    <row r="126" spans="5:5">
      <c r="E126" s="50"/>
    </row>
    <row r="127" spans="5:5">
      <c r="E127" s="50"/>
    </row>
    <row r="128" spans="5:5">
      <c r="E128" s="50"/>
    </row>
    <row r="129" spans="5:5">
      <c r="E129" s="50"/>
    </row>
    <row r="130" spans="5:5">
      <c r="E130" s="50"/>
    </row>
    <row r="131" spans="5:5">
      <c r="E131" s="50"/>
    </row>
    <row r="132" spans="5:5">
      <c r="E132" s="50"/>
    </row>
    <row r="133" spans="5:5">
      <c r="E133" s="50"/>
    </row>
    <row r="134" spans="5:5">
      <c r="E134" s="50"/>
    </row>
    <row r="135" spans="5:5">
      <c r="E135" s="50"/>
    </row>
    <row r="136" spans="5:5">
      <c r="E136" s="50"/>
    </row>
    <row r="137" spans="5:5">
      <c r="E137" s="50"/>
    </row>
    <row r="138" spans="5:5">
      <c r="E138" s="50"/>
    </row>
    <row r="139" spans="5:5">
      <c r="E139" s="50"/>
    </row>
    <row r="140" spans="5:5">
      <c r="E140" s="50"/>
    </row>
    <row r="141" spans="5:5">
      <c r="E141" s="50"/>
    </row>
    <row r="142" spans="5:5">
      <c r="E142" s="50"/>
    </row>
    <row r="143" spans="5:5">
      <c r="E143" s="50"/>
    </row>
    <row r="144" spans="5:5">
      <c r="E144" s="50"/>
    </row>
    <row r="145" spans="5:5">
      <c r="E145" s="50"/>
    </row>
    <row r="146" spans="5:5">
      <c r="E146" s="50"/>
    </row>
    <row r="147" spans="5:5">
      <c r="E147" s="50"/>
    </row>
    <row r="148" spans="5:5">
      <c r="E148" s="50"/>
    </row>
    <row r="149" spans="5:5">
      <c r="E149" s="50"/>
    </row>
    <row r="150" spans="5:5">
      <c r="E150" s="50"/>
    </row>
    <row r="151" spans="5:5">
      <c r="E151" s="50"/>
    </row>
    <row r="152" spans="5:5">
      <c r="E152" s="50"/>
    </row>
    <row r="153" spans="5:5">
      <c r="E153" s="50"/>
    </row>
    <row r="154" spans="5:5">
      <c r="E154" s="50"/>
    </row>
    <row r="155" spans="5:5">
      <c r="E155" s="50"/>
    </row>
    <row r="156" spans="5:5">
      <c r="E156" s="50"/>
    </row>
    <row r="157" spans="5:5">
      <c r="E157" s="50"/>
    </row>
    <row r="158" spans="5:5">
      <c r="E158" s="50"/>
    </row>
    <row r="159" spans="5:5">
      <c r="E159" s="50"/>
    </row>
    <row r="160" spans="5:5">
      <c r="E160" s="50"/>
    </row>
    <row r="161" spans="5:5">
      <c r="E161" s="50"/>
    </row>
    <row r="162" spans="5:5">
      <c r="E162" s="50"/>
    </row>
    <row r="163" spans="5:5">
      <c r="E163" s="50"/>
    </row>
    <row r="164" spans="5:5">
      <c r="E164" s="50"/>
    </row>
    <row r="165" spans="5:5">
      <c r="E165" s="50"/>
    </row>
    <row r="166" spans="5:5">
      <c r="E166" s="50"/>
    </row>
    <row r="167" spans="5:5">
      <c r="E167" s="50"/>
    </row>
    <row r="168" spans="5:5">
      <c r="E168" s="50"/>
    </row>
    <row r="169" spans="5:5">
      <c r="E169" s="50"/>
    </row>
    <row r="170" spans="5:5">
      <c r="E170" s="50"/>
    </row>
    <row r="171" spans="5:5">
      <c r="E171" s="50"/>
    </row>
    <row r="172" spans="5:5">
      <c r="E172" s="50"/>
    </row>
    <row r="173" spans="5:5">
      <c r="E173" s="50"/>
    </row>
    <row r="174" spans="5:5">
      <c r="E174" s="50"/>
    </row>
    <row r="175" spans="5:5">
      <c r="E175" s="50"/>
    </row>
    <row r="176" spans="5:5">
      <c r="E176" s="50"/>
    </row>
    <row r="177" spans="5:5">
      <c r="E177" s="50"/>
    </row>
    <row r="178" spans="5:5">
      <c r="E178" s="50"/>
    </row>
    <row r="179" spans="5:5">
      <c r="E179" s="50"/>
    </row>
    <row r="180" spans="5:5">
      <c r="E180" s="50"/>
    </row>
    <row r="181" spans="5:5">
      <c r="E181" s="50"/>
    </row>
    <row r="182" spans="5:5">
      <c r="E182" s="50"/>
    </row>
    <row r="183" spans="5:5">
      <c r="E183" s="50"/>
    </row>
    <row r="184" spans="5:5">
      <c r="E184" s="50"/>
    </row>
    <row r="185" spans="5:5">
      <c r="E185" s="50"/>
    </row>
    <row r="186" spans="5:5">
      <c r="E186" s="50"/>
    </row>
    <row r="187" spans="5:5">
      <c r="E187" s="50"/>
    </row>
    <row r="188" spans="5:5">
      <c r="E188" s="50"/>
    </row>
    <row r="189" spans="5:5">
      <c r="E189" s="50"/>
    </row>
    <row r="190" spans="5:5">
      <c r="E190" s="50"/>
    </row>
    <row r="191" spans="5:5">
      <c r="E191" s="50"/>
    </row>
    <row r="192" spans="5:5">
      <c r="E192" s="50"/>
    </row>
    <row r="193" spans="5:5">
      <c r="E193" s="50"/>
    </row>
    <row r="194" spans="5:5">
      <c r="E194" s="50"/>
    </row>
    <row r="195" spans="5:5">
      <c r="E195" s="50"/>
    </row>
    <row r="196" spans="5:5">
      <c r="E196" s="50"/>
    </row>
    <row r="197" spans="5:5">
      <c r="E197" s="50"/>
    </row>
    <row r="198" spans="5:5">
      <c r="E198" s="50"/>
    </row>
    <row r="199" spans="5:5">
      <c r="E199" s="50"/>
    </row>
    <row r="200" spans="5:5">
      <c r="E200" s="50"/>
    </row>
    <row r="201" spans="5:5">
      <c r="E201" s="50"/>
    </row>
    <row r="202" spans="5:5">
      <c r="E202" s="50"/>
    </row>
    <row r="203" spans="5:5">
      <c r="E203" s="50"/>
    </row>
    <row r="204" spans="5:5">
      <c r="E204" s="50"/>
    </row>
    <row r="205" spans="5:5">
      <c r="E205" s="50"/>
    </row>
    <row r="206" spans="5:5">
      <c r="E206" s="50"/>
    </row>
    <row r="207" spans="5:5">
      <c r="E207" s="50"/>
    </row>
    <row r="208" spans="5:5">
      <c r="E208" s="50"/>
    </row>
    <row r="209" spans="5:5">
      <c r="E209" s="50"/>
    </row>
    <row r="210" spans="5:5">
      <c r="E210" s="50"/>
    </row>
    <row r="211" spans="5:5">
      <c r="E211" s="50"/>
    </row>
    <row r="212" spans="5:5">
      <c r="E212" s="50"/>
    </row>
    <row r="213" spans="5:5">
      <c r="E213" s="50"/>
    </row>
    <row r="214" spans="5:5">
      <c r="E214" s="50"/>
    </row>
    <row r="215" spans="5:5">
      <c r="E215" s="50"/>
    </row>
    <row r="216" spans="5:5">
      <c r="E216" s="50"/>
    </row>
    <row r="217" spans="5:5">
      <c r="E217" s="50"/>
    </row>
    <row r="218" spans="5:5">
      <c r="E218" s="50"/>
    </row>
    <row r="219" spans="5:5">
      <c r="E219" s="50"/>
    </row>
    <row r="220" spans="5:5">
      <c r="E220" s="50"/>
    </row>
    <row r="221" spans="5:5">
      <c r="E221" s="50"/>
    </row>
    <row r="222" spans="5:5">
      <c r="E222" s="50"/>
    </row>
    <row r="223" spans="5:5">
      <c r="E223" s="50"/>
    </row>
    <row r="224" spans="5:5">
      <c r="E224" s="50"/>
    </row>
    <row r="225" spans="5:5">
      <c r="E225" s="50"/>
    </row>
    <row r="226" spans="5:5">
      <c r="E226" s="50"/>
    </row>
    <row r="227" spans="5:5">
      <c r="E227" s="50"/>
    </row>
    <row r="228" spans="5:5">
      <c r="E228" s="50"/>
    </row>
    <row r="229" spans="5:5">
      <c r="E229" s="50"/>
    </row>
    <row r="230" spans="5:5">
      <c r="E230" s="50"/>
    </row>
    <row r="231" spans="5:5">
      <c r="E231" s="50"/>
    </row>
    <row r="232" spans="5:5">
      <c r="E232" s="50"/>
    </row>
    <row r="233" spans="5:5">
      <c r="E233" s="50"/>
    </row>
    <row r="234" spans="5:5">
      <c r="E234" s="50"/>
    </row>
    <row r="235" spans="5:5">
      <c r="E235" s="50"/>
    </row>
    <row r="236" spans="5:5">
      <c r="E236" s="50"/>
    </row>
    <row r="237" spans="5:5">
      <c r="E237" s="50"/>
    </row>
    <row r="238" spans="5:5">
      <c r="E238" s="50"/>
    </row>
    <row r="239" spans="5:5">
      <c r="E239" s="50"/>
    </row>
    <row r="240" spans="5:5">
      <c r="E240" s="50"/>
    </row>
    <row r="241" spans="5:5">
      <c r="E241" s="50"/>
    </row>
    <row r="242" spans="5:5">
      <c r="E242" s="50"/>
    </row>
    <row r="243" spans="5:5">
      <c r="E243" s="50"/>
    </row>
    <row r="244" spans="5:5">
      <c r="E244" s="50"/>
    </row>
    <row r="245" spans="5:5">
      <c r="E245" s="50"/>
    </row>
    <row r="246" spans="5:5">
      <c r="E246" s="50"/>
    </row>
    <row r="247" spans="5:5">
      <c r="E247" s="50"/>
    </row>
    <row r="248" spans="5:5">
      <c r="E248" s="50"/>
    </row>
    <row r="249" spans="5:5">
      <c r="E249" s="50"/>
    </row>
    <row r="250" spans="5:5">
      <c r="E250" s="50"/>
    </row>
    <row r="251" spans="5:5">
      <c r="E251" s="50"/>
    </row>
    <row r="252" spans="5:5">
      <c r="E252" s="50"/>
    </row>
    <row r="253" spans="5:5">
      <c r="E253" s="50"/>
    </row>
    <row r="254" spans="5:5">
      <c r="E254" s="50"/>
    </row>
    <row r="255" spans="5:5">
      <c r="E255" s="50"/>
    </row>
    <row r="256" spans="5:5">
      <c r="E256" s="50"/>
    </row>
    <row r="257" spans="5:5">
      <c r="E257" s="50"/>
    </row>
    <row r="258" spans="5:5">
      <c r="E258" s="50"/>
    </row>
    <row r="259" spans="5:5">
      <c r="E259" s="50"/>
    </row>
    <row r="260" spans="5:5">
      <c r="E260" s="50"/>
    </row>
    <row r="261" spans="5:5">
      <c r="E261" s="50"/>
    </row>
    <row r="262" spans="5:5">
      <c r="E262" s="50"/>
    </row>
    <row r="263" spans="5:5">
      <c r="E263" s="50"/>
    </row>
    <row r="264" spans="5:5">
      <c r="E264" s="50"/>
    </row>
    <row r="265" spans="5:5">
      <c r="E265" s="50"/>
    </row>
    <row r="266" spans="5:5">
      <c r="E266" s="50"/>
    </row>
    <row r="267" spans="5:5">
      <c r="E267" s="50"/>
    </row>
    <row r="268" spans="5:5">
      <c r="E268" s="50"/>
    </row>
    <row r="269" spans="5:5">
      <c r="E269" s="50"/>
    </row>
    <row r="270" spans="5:5">
      <c r="E270" s="50"/>
    </row>
    <row r="271" spans="5:5">
      <c r="E271" s="50"/>
    </row>
    <row r="272" spans="5:5">
      <c r="E272" s="50"/>
    </row>
    <row r="273" spans="5:5">
      <c r="E273" s="50"/>
    </row>
    <row r="274" spans="5:5">
      <c r="E274" s="50"/>
    </row>
    <row r="275" spans="5:5">
      <c r="E275" s="50"/>
    </row>
    <row r="276" spans="5:5">
      <c r="E276" s="50"/>
    </row>
    <row r="277" spans="5:5">
      <c r="E277" s="50"/>
    </row>
    <row r="278" spans="5:5">
      <c r="E278" s="50"/>
    </row>
    <row r="279" spans="5:5">
      <c r="E279" s="50"/>
    </row>
    <row r="280" spans="5:5">
      <c r="E280" s="50"/>
    </row>
    <row r="281" spans="5:5">
      <c r="E281" s="50"/>
    </row>
    <row r="282" spans="5:5">
      <c r="E282" s="50"/>
    </row>
    <row r="283" spans="5:5">
      <c r="E283" s="50"/>
    </row>
    <row r="284" spans="5:5">
      <c r="E284" s="50"/>
    </row>
    <row r="285" spans="5:5">
      <c r="E285" s="50"/>
    </row>
    <row r="286" spans="5:5">
      <c r="E286" s="50"/>
    </row>
    <row r="287" spans="5:5">
      <c r="E287" s="50"/>
    </row>
    <row r="288" spans="5:5">
      <c r="E288" s="50"/>
    </row>
    <row r="289" spans="5:5">
      <c r="E289" s="50"/>
    </row>
    <row r="290" spans="5:5">
      <c r="E290" s="50"/>
    </row>
    <row r="291" spans="5:5">
      <c r="E291" s="50"/>
    </row>
    <row r="292" spans="5:5">
      <c r="E292" s="50"/>
    </row>
    <row r="293" spans="5:5">
      <c r="E293" s="50"/>
    </row>
    <row r="294" spans="5:5">
      <c r="E294" s="50"/>
    </row>
    <row r="295" spans="5:5">
      <c r="E295" s="50"/>
    </row>
    <row r="296" spans="5:5">
      <c r="E296" s="50"/>
    </row>
    <row r="297" spans="5:5">
      <c r="E297" s="50"/>
    </row>
    <row r="298" spans="5:5">
      <c r="E298" s="50"/>
    </row>
    <row r="299" spans="5:5">
      <c r="E299" s="50"/>
    </row>
    <row r="300" spans="5:5">
      <c r="E300" s="50"/>
    </row>
    <row r="301" spans="5:5">
      <c r="E301" s="50"/>
    </row>
    <row r="302" spans="5:5">
      <c r="E302" s="50"/>
    </row>
    <row r="303" spans="5:5">
      <c r="E303" s="50"/>
    </row>
    <row r="304" spans="5:5">
      <c r="E304" s="50"/>
    </row>
    <row r="305" spans="5:5">
      <c r="E305" s="50"/>
    </row>
    <row r="306" spans="5:5">
      <c r="E306" s="50"/>
    </row>
    <row r="307" spans="5:5">
      <c r="E307" s="50"/>
    </row>
    <row r="308" spans="5:5">
      <c r="E308" s="50"/>
    </row>
    <row r="309" spans="5:5">
      <c r="E309" s="50"/>
    </row>
    <row r="310" spans="5:5">
      <c r="E310" s="50"/>
    </row>
    <row r="311" spans="5:5">
      <c r="E311" s="50"/>
    </row>
    <row r="312" spans="5:5">
      <c r="E312" s="50"/>
    </row>
    <row r="313" spans="5:5">
      <c r="E313" s="50"/>
    </row>
    <row r="314" spans="5:5">
      <c r="E314" s="50"/>
    </row>
    <row r="315" spans="5:5">
      <c r="E315" s="50"/>
    </row>
    <row r="316" spans="5:5">
      <c r="E316" s="50"/>
    </row>
    <row r="317" spans="5:5">
      <c r="E317" s="50"/>
    </row>
    <row r="318" spans="5:5">
      <c r="E318" s="50"/>
    </row>
    <row r="319" spans="5:5">
      <c r="E319" s="50"/>
    </row>
    <row r="320" spans="5:5">
      <c r="E320" s="50"/>
    </row>
    <row r="321" spans="5:5">
      <c r="E321" s="50"/>
    </row>
    <row r="322" spans="5:5">
      <c r="E322" s="50"/>
    </row>
    <row r="323" spans="5:5">
      <c r="E323" s="50"/>
    </row>
    <row r="324" spans="5:5">
      <c r="E324" s="50"/>
    </row>
    <row r="325" spans="5:5">
      <c r="E325" s="50"/>
    </row>
    <row r="326" spans="5:5">
      <c r="E326" s="50"/>
    </row>
    <row r="327" spans="5:5">
      <c r="E327" s="50"/>
    </row>
    <row r="328" spans="5:5">
      <c r="E328" s="50"/>
    </row>
    <row r="329" spans="5:5">
      <c r="E329" s="50"/>
    </row>
    <row r="330" spans="5:5">
      <c r="E330" s="50"/>
    </row>
    <row r="331" spans="5:5">
      <c r="E331" s="50"/>
    </row>
    <row r="332" spans="5:5">
      <c r="E332" s="50"/>
    </row>
    <row r="333" spans="5:5">
      <c r="E333" s="50"/>
    </row>
    <row r="334" spans="5:5">
      <c r="E334" s="50"/>
    </row>
    <row r="335" spans="5:5">
      <c r="E335" s="50"/>
    </row>
    <row r="336" spans="5:5">
      <c r="E336" s="50"/>
    </row>
    <row r="337" spans="5:5">
      <c r="E337" s="50"/>
    </row>
    <row r="338" spans="5:5">
      <c r="E338" s="50"/>
    </row>
    <row r="339" spans="5:5">
      <c r="E339" s="50"/>
    </row>
    <row r="340" spans="5:5">
      <c r="E340" s="50"/>
    </row>
    <row r="341" spans="5:5">
      <c r="E341" s="50"/>
    </row>
    <row r="342" spans="5:5">
      <c r="E342" s="50"/>
    </row>
    <row r="343" spans="5:5">
      <c r="E343" s="50"/>
    </row>
    <row r="344" spans="5:5">
      <c r="E344" s="50"/>
    </row>
    <row r="345" spans="5:5">
      <c r="E345" s="50"/>
    </row>
    <row r="346" spans="5:5">
      <c r="E346" s="50"/>
    </row>
    <row r="347" spans="5:5">
      <c r="E347" s="50"/>
    </row>
    <row r="348" spans="5:5">
      <c r="E348" s="50"/>
    </row>
    <row r="349" spans="5:5">
      <c r="E349" s="50"/>
    </row>
    <row r="350" spans="5:5">
      <c r="E350" s="50"/>
    </row>
    <row r="351" spans="5:5">
      <c r="E351" s="50"/>
    </row>
    <row r="352" spans="5:5">
      <c r="E352" s="50"/>
    </row>
    <row r="353" spans="5:5">
      <c r="E353" s="50"/>
    </row>
    <row r="354" spans="5:5">
      <c r="E354" s="50"/>
    </row>
    <row r="355" spans="5:5">
      <c r="E355" s="50"/>
    </row>
    <row r="356" spans="5:5">
      <c r="E356" s="50"/>
    </row>
    <row r="357" spans="5:5">
      <c r="E357" s="50"/>
    </row>
    <row r="358" spans="5:5">
      <c r="E358" s="50"/>
    </row>
    <row r="359" spans="5:5">
      <c r="E359" s="50"/>
    </row>
    <row r="360" spans="5:5">
      <c r="E360" s="50"/>
    </row>
    <row r="361" spans="5:5">
      <c r="E361" s="50"/>
    </row>
    <row r="362" spans="5:5">
      <c r="E362" s="50"/>
    </row>
    <row r="363" spans="5:5">
      <c r="E363" s="50"/>
    </row>
    <row r="364" spans="5:5">
      <c r="E364" s="50"/>
    </row>
    <row r="365" spans="5:5">
      <c r="E365" s="50"/>
    </row>
    <row r="366" spans="5:5">
      <c r="E366" s="50"/>
    </row>
    <row r="367" spans="5:5">
      <c r="E367" s="50"/>
    </row>
    <row r="368" spans="5:5">
      <c r="E368" s="50"/>
    </row>
    <row r="369" spans="5:5">
      <c r="E369" s="50"/>
    </row>
    <row r="370" spans="5:5">
      <c r="E370" s="50"/>
    </row>
    <row r="371" spans="5:5">
      <c r="E371" s="50"/>
    </row>
    <row r="372" spans="5:5">
      <c r="E372" s="50"/>
    </row>
    <row r="373" spans="5:5">
      <c r="E373" s="50"/>
    </row>
    <row r="374" spans="5:5">
      <c r="E374" s="50"/>
    </row>
    <row r="375" spans="5:5">
      <c r="E375" s="50"/>
    </row>
    <row r="376" spans="5:5">
      <c r="E376" s="50"/>
    </row>
    <row r="377" spans="5:5">
      <c r="E377" s="50"/>
    </row>
    <row r="378" spans="5:5">
      <c r="E378" s="50"/>
    </row>
    <row r="379" spans="5:5">
      <c r="E379" s="50"/>
    </row>
    <row r="380" spans="5:5">
      <c r="E380" s="50"/>
    </row>
    <row r="381" spans="5:5">
      <c r="E381" s="50"/>
    </row>
    <row r="382" spans="5:5">
      <c r="E382" s="50"/>
    </row>
    <row r="383" spans="5:5">
      <c r="E383" s="50"/>
    </row>
    <row r="384" spans="5:5">
      <c r="E384" s="50"/>
    </row>
    <row r="385" spans="5:5">
      <c r="E385" s="50"/>
    </row>
    <row r="386" spans="5:5">
      <c r="E386" s="50"/>
    </row>
    <row r="387" spans="5:5">
      <c r="E387" s="50"/>
    </row>
    <row r="388" spans="5:5">
      <c r="E388" s="50"/>
    </row>
    <row r="389" spans="5:5">
      <c r="E389" s="50"/>
    </row>
    <row r="390" spans="5:5">
      <c r="E390" s="50"/>
    </row>
    <row r="391" spans="5:5">
      <c r="E391" s="50"/>
    </row>
    <row r="392" spans="5:5">
      <c r="E392" s="50"/>
    </row>
    <row r="393" spans="5:5">
      <c r="E393" s="50"/>
    </row>
    <row r="394" spans="5:5">
      <c r="E394" s="50"/>
    </row>
    <row r="395" spans="5:5">
      <c r="E395" s="50"/>
    </row>
    <row r="396" spans="5:5">
      <c r="E396" s="50"/>
    </row>
    <row r="397" spans="5:5">
      <c r="E397" s="50"/>
    </row>
    <row r="398" spans="5:5">
      <c r="E398" s="50"/>
    </row>
    <row r="399" spans="5:5">
      <c r="E399" s="50"/>
    </row>
    <row r="400" spans="5:5">
      <c r="E400" s="50"/>
    </row>
    <row r="401" spans="5:5">
      <c r="E401" s="50"/>
    </row>
    <row r="402" spans="5:5">
      <c r="E402" s="50"/>
    </row>
    <row r="403" spans="5:5">
      <c r="E403" s="50"/>
    </row>
    <row r="404" spans="5:5">
      <c r="E404" s="50"/>
    </row>
    <row r="405" spans="5:5">
      <c r="E405" s="50"/>
    </row>
    <row r="406" spans="5:5">
      <c r="E406" s="50"/>
    </row>
    <row r="407" spans="5:5">
      <c r="E407" s="50"/>
    </row>
    <row r="408" spans="5:5">
      <c r="E408" s="50"/>
    </row>
    <row r="409" spans="5:5">
      <c r="E409" s="50"/>
    </row>
    <row r="410" spans="5:5">
      <c r="E410" s="50"/>
    </row>
    <row r="411" spans="5:5">
      <c r="E411" s="50"/>
    </row>
    <row r="412" spans="5:5">
      <c r="E412" s="50"/>
    </row>
    <row r="413" spans="5:5">
      <c r="E413" s="50"/>
    </row>
    <row r="414" spans="5:5">
      <c r="E414" s="50"/>
    </row>
    <row r="415" spans="5:5">
      <c r="E415" s="50"/>
    </row>
    <row r="416" spans="5:5">
      <c r="E416" s="50"/>
    </row>
    <row r="417" spans="5:5">
      <c r="E417" s="50"/>
    </row>
    <row r="418" spans="5:5">
      <c r="E418" s="50"/>
    </row>
    <row r="419" spans="5:5">
      <c r="E419" s="50"/>
    </row>
    <row r="420" spans="5:5">
      <c r="E420" s="50"/>
    </row>
    <row r="421" spans="5:5">
      <c r="E421" s="50"/>
    </row>
    <row r="422" spans="5:5">
      <c r="E422" s="50"/>
    </row>
    <row r="423" spans="5:5">
      <c r="E423" s="50"/>
    </row>
    <row r="424" spans="5:5">
      <c r="E424" s="50"/>
    </row>
    <row r="425" spans="5:5">
      <c r="E425" s="50"/>
    </row>
    <row r="426" spans="5:5">
      <c r="E426" s="50"/>
    </row>
    <row r="427" spans="5:5">
      <c r="E427" s="50"/>
    </row>
    <row r="428" spans="5:5">
      <c r="E428" s="50"/>
    </row>
    <row r="429" spans="5:5">
      <c r="E429" s="50"/>
    </row>
    <row r="430" spans="5:5">
      <c r="E430" s="50"/>
    </row>
    <row r="431" spans="5:5">
      <c r="E431" s="50"/>
    </row>
    <row r="432" spans="5:5">
      <c r="E432" s="50"/>
    </row>
    <row r="433" spans="5:5">
      <c r="E433" s="50"/>
    </row>
    <row r="434" spans="5:5">
      <c r="E434" s="50"/>
    </row>
    <row r="435" spans="5:5">
      <c r="E435" s="50"/>
    </row>
    <row r="436" spans="5:5">
      <c r="E436" s="50"/>
    </row>
    <row r="437" spans="5:5">
      <c r="E437" s="50"/>
    </row>
    <row r="438" spans="5:5">
      <c r="E438" s="50"/>
    </row>
    <row r="439" spans="5:5">
      <c r="E439" s="50"/>
    </row>
    <row r="440" spans="5:5">
      <c r="E440" s="50"/>
    </row>
    <row r="441" spans="5:5">
      <c r="E441" s="50"/>
    </row>
    <row r="442" spans="5:5">
      <c r="E442" s="50"/>
    </row>
    <row r="443" spans="5:5">
      <c r="E443" s="50"/>
    </row>
    <row r="444" spans="5:5">
      <c r="E444" s="50"/>
    </row>
    <row r="445" spans="5:5">
      <c r="E445" s="50"/>
    </row>
    <row r="446" spans="5:5">
      <c r="E446" s="50"/>
    </row>
    <row r="447" spans="5:5">
      <c r="E447" s="50"/>
    </row>
    <row r="448" spans="5:5">
      <c r="E448" s="50"/>
    </row>
    <row r="449" spans="5:5">
      <c r="E449" s="50"/>
    </row>
    <row r="450" spans="5:5">
      <c r="E450" s="50"/>
    </row>
    <row r="451" spans="5:5">
      <c r="E451" s="50"/>
    </row>
    <row r="452" spans="5:5">
      <c r="E452" s="50"/>
    </row>
    <row r="453" spans="5:5">
      <c r="E453" s="50"/>
    </row>
    <row r="454" spans="5:5">
      <c r="E454" s="50"/>
    </row>
    <row r="455" spans="5:5">
      <c r="E455" s="50"/>
    </row>
    <row r="456" spans="5:5">
      <c r="E456" s="50"/>
    </row>
    <row r="457" spans="5:5">
      <c r="E457" s="50"/>
    </row>
    <row r="458" spans="5:5">
      <c r="E458" s="50"/>
    </row>
    <row r="459" spans="5:5">
      <c r="E459" s="50"/>
    </row>
    <row r="460" spans="5:5">
      <c r="E460" s="50"/>
    </row>
    <row r="461" spans="5:5">
      <c r="E461" s="50"/>
    </row>
    <row r="462" spans="5:5">
      <c r="E462" s="50"/>
    </row>
    <row r="463" spans="5:5">
      <c r="E463" s="50"/>
    </row>
    <row r="464" spans="5:5">
      <c r="E464" s="50"/>
    </row>
    <row r="465" spans="5:5">
      <c r="E465" s="50"/>
    </row>
    <row r="466" spans="5:5">
      <c r="E466" s="50"/>
    </row>
    <row r="467" spans="5:5">
      <c r="E467" s="50"/>
    </row>
    <row r="468" spans="5:5">
      <c r="E468" s="50"/>
    </row>
    <row r="469" spans="5:5">
      <c r="E469" s="50"/>
    </row>
    <row r="470" spans="5:5">
      <c r="E470" s="50"/>
    </row>
    <row r="471" spans="5:5">
      <c r="E471" s="50"/>
    </row>
    <row r="472" spans="5:5">
      <c r="E472" s="50"/>
    </row>
    <row r="473" spans="5:5">
      <c r="E473" s="50"/>
    </row>
    <row r="474" spans="5:5">
      <c r="E474" s="50"/>
    </row>
    <row r="475" spans="5:5">
      <c r="E475" s="50"/>
    </row>
    <row r="476" spans="5:5">
      <c r="E476" s="50"/>
    </row>
    <row r="477" spans="5:5">
      <c r="E477" s="50"/>
    </row>
    <row r="478" spans="5:5">
      <c r="E478" s="50"/>
    </row>
    <row r="479" spans="5:5">
      <c r="E479" s="50"/>
    </row>
    <row r="480" spans="5:5">
      <c r="E480" s="50"/>
    </row>
    <row r="481" spans="5:5">
      <c r="E481" s="50"/>
    </row>
    <row r="482" spans="5:5">
      <c r="E482" s="50"/>
    </row>
    <row r="483" spans="5:5">
      <c r="E483" s="50"/>
    </row>
    <row r="484" spans="5:5">
      <c r="E484" s="50"/>
    </row>
    <row r="485" spans="5:5">
      <c r="E485" s="50"/>
    </row>
    <row r="486" spans="5:5">
      <c r="E486" s="50"/>
    </row>
    <row r="487" spans="5:5">
      <c r="E487" s="50"/>
    </row>
    <row r="488" spans="5:5">
      <c r="E488" s="50"/>
    </row>
    <row r="489" spans="5:5">
      <c r="E489" s="50"/>
    </row>
    <row r="490" spans="5:5">
      <c r="E490" s="50"/>
    </row>
    <row r="491" spans="5:5">
      <c r="E491" s="50"/>
    </row>
    <row r="492" spans="5:5">
      <c r="E492" s="50"/>
    </row>
    <row r="493" spans="5:5">
      <c r="E493" s="50"/>
    </row>
    <row r="494" spans="5:5">
      <c r="E494" s="50"/>
    </row>
    <row r="495" spans="5:5">
      <c r="E495" s="50"/>
    </row>
    <row r="496" spans="5:5">
      <c r="E496" s="50"/>
    </row>
    <row r="497" spans="5:5">
      <c r="E497" s="50"/>
    </row>
    <row r="498" spans="5:5">
      <c r="E498" s="50"/>
    </row>
    <row r="499" spans="5:5">
      <c r="E499" s="50"/>
    </row>
    <row r="500" spans="5:5">
      <c r="E500" s="50"/>
    </row>
    <row r="501" spans="5:5">
      <c r="E501" s="50"/>
    </row>
    <row r="502" spans="5:5">
      <c r="E502" s="50"/>
    </row>
    <row r="503" spans="5:5">
      <c r="E503" s="50"/>
    </row>
    <row r="504" spans="5:5">
      <c r="E504" s="50"/>
    </row>
    <row r="505" spans="5:5">
      <c r="E505" s="50"/>
    </row>
    <row r="506" spans="5:5">
      <c r="E506" s="50"/>
    </row>
    <row r="507" spans="5:5">
      <c r="E507" s="50"/>
    </row>
    <row r="508" spans="5:5">
      <c r="E508" s="50"/>
    </row>
    <row r="509" spans="5:5">
      <c r="E509" s="50"/>
    </row>
    <row r="510" spans="5:5">
      <c r="E510" s="50"/>
    </row>
    <row r="511" spans="5:5">
      <c r="E511" s="50"/>
    </row>
    <row r="512" spans="5:5">
      <c r="E512" s="50"/>
    </row>
    <row r="513" spans="5:5">
      <c r="E513" s="50"/>
    </row>
    <row r="514" spans="5:5">
      <c r="E514" s="50"/>
    </row>
    <row r="515" spans="5:5">
      <c r="E515" s="50"/>
    </row>
    <row r="516" spans="5:5">
      <c r="E516" s="50"/>
    </row>
    <row r="517" spans="5:5">
      <c r="E517" s="50"/>
    </row>
    <row r="518" spans="5:5">
      <c r="E518" s="50"/>
    </row>
    <row r="519" spans="5:5">
      <c r="E519" s="50"/>
    </row>
    <row r="520" spans="5:5">
      <c r="E520" s="50"/>
    </row>
    <row r="521" spans="5:5">
      <c r="E521" s="50"/>
    </row>
    <row r="522" spans="5:5">
      <c r="E522" s="50"/>
    </row>
    <row r="523" spans="5:5">
      <c r="E523" s="50"/>
    </row>
    <row r="524" spans="5:5">
      <c r="E524" s="50"/>
    </row>
    <row r="525" spans="5:5">
      <c r="E525" s="50"/>
    </row>
    <row r="526" spans="5:5">
      <c r="E526" s="50"/>
    </row>
    <row r="527" spans="5:5">
      <c r="E527" s="50"/>
    </row>
    <row r="528" spans="5:5">
      <c r="E528" s="50"/>
    </row>
    <row r="529" spans="5:5">
      <c r="E529" s="50"/>
    </row>
    <row r="530" spans="5:5">
      <c r="E530" s="50"/>
    </row>
    <row r="531" spans="5:5">
      <c r="E531" s="50"/>
    </row>
    <row r="532" spans="5:5">
      <c r="E532" s="50"/>
    </row>
    <row r="533" spans="5:5">
      <c r="E533" s="50"/>
    </row>
    <row r="534" spans="5:5">
      <c r="E534" s="50"/>
    </row>
    <row r="535" spans="5:5">
      <c r="E535" s="50"/>
    </row>
    <row r="536" spans="5:5">
      <c r="E536" s="50"/>
    </row>
    <row r="537" spans="5:5">
      <c r="E537" s="50"/>
    </row>
    <row r="538" spans="5:5">
      <c r="E538" s="50"/>
    </row>
    <row r="539" spans="5:5">
      <c r="E539" s="50"/>
    </row>
    <row r="540" spans="5:5">
      <c r="E540" s="50"/>
    </row>
    <row r="541" spans="5:5">
      <c r="E541" s="50"/>
    </row>
    <row r="542" spans="5:5">
      <c r="E542" s="50"/>
    </row>
    <row r="543" spans="5:5">
      <c r="E543" s="50"/>
    </row>
    <row r="544" spans="5:5">
      <c r="E544" s="50"/>
    </row>
    <row r="545" spans="5:5">
      <c r="E545" s="50"/>
    </row>
    <row r="546" spans="5:5">
      <c r="E546" s="50"/>
    </row>
    <row r="547" spans="5:5">
      <c r="E547" s="50"/>
    </row>
    <row r="548" spans="5:5">
      <c r="E548" s="50"/>
    </row>
    <row r="549" spans="5:5">
      <c r="E549" s="50"/>
    </row>
    <row r="550" spans="5:5">
      <c r="E550" s="50"/>
    </row>
    <row r="551" spans="5:5">
      <c r="E551" s="50"/>
    </row>
    <row r="552" spans="5:5">
      <c r="E552" s="50"/>
    </row>
    <row r="553" spans="5:5">
      <c r="E553" s="50"/>
    </row>
    <row r="554" spans="5:5">
      <c r="E554" s="50"/>
    </row>
    <row r="555" spans="5:5">
      <c r="E555" s="50"/>
    </row>
    <row r="556" spans="5:5">
      <c r="E556" s="50"/>
    </row>
    <row r="557" spans="5:5">
      <c r="E557" s="50"/>
    </row>
    <row r="558" spans="5:5">
      <c r="E558" s="50"/>
    </row>
    <row r="559" spans="5:5">
      <c r="E559" s="50"/>
    </row>
    <row r="560" spans="5:5">
      <c r="E560" s="50"/>
    </row>
    <row r="561" spans="5:5">
      <c r="E561" s="50"/>
    </row>
    <row r="562" spans="5:5">
      <c r="E562" s="50"/>
    </row>
    <row r="563" spans="5:5">
      <c r="E563" s="50"/>
    </row>
    <row r="564" spans="5:5">
      <c r="E564" s="50"/>
    </row>
    <row r="565" spans="5:5">
      <c r="E565" s="50"/>
    </row>
    <row r="566" spans="5:5">
      <c r="E566" s="50"/>
    </row>
    <row r="567" spans="5:5">
      <c r="E567" s="50"/>
    </row>
    <row r="568" spans="5:5">
      <c r="E568" s="50"/>
    </row>
    <row r="569" spans="5:5">
      <c r="E569" s="50"/>
    </row>
    <row r="570" spans="5:5">
      <c r="E570" s="50"/>
    </row>
    <row r="571" spans="5:5">
      <c r="E571" s="50"/>
    </row>
    <row r="572" spans="5:5">
      <c r="E572" s="50"/>
    </row>
    <row r="573" spans="5:5">
      <c r="E573" s="50"/>
    </row>
    <row r="574" spans="5:5">
      <c r="E574" s="50"/>
    </row>
    <row r="575" spans="5:5">
      <c r="E575" s="50"/>
    </row>
    <row r="576" spans="5:5">
      <c r="E576" s="50"/>
    </row>
    <row r="577" spans="5:5">
      <c r="E577" s="50"/>
    </row>
    <row r="578" spans="5:5">
      <c r="E578" s="50"/>
    </row>
    <row r="579" spans="5:5">
      <c r="E579" s="50"/>
    </row>
    <row r="580" spans="5:5">
      <c r="E580" s="50"/>
    </row>
    <row r="581" spans="5:5">
      <c r="E581" s="50"/>
    </row>
    <row r="582" spans="5:5">
      <c r="E582" s="50"/>
    </row>
    <row r="583" spans="5:5">
      <c r="E583" s="50"/>
    </row>
    <row r="584" spans="5:5">
      <c r="E584" s="50"/>
    </row>
    <row r="585" spans="5:5">
      <c r="E585" s="50"/>
    </row>
    <row r="586" spans="5:5">
      <c r="E586" s="50"/>
    </row>
    <row r="587" spans="5:5">
      <c r="E587" s="50"/>
    </row>
    <row r="588" spans="5:5">
      <c r="E588" s="50"/>
    </row>
    <row r="589" spans="5:5">
      <c r="E589" s="50"/>
    </row>
    <row r="590" spans="5:5">
      <c r="E590" s="50"/>
    </row>
    <row r="591" spans="5:5">
      <c r="E591" s="50"/>
    </row>
    <row r="592" spans="5:5">
      <c r="E592" s="50"/>
    </row>
    <row r="593" spans="5:5">
      <c r="E593" s="50"/>
    </row>
    <row r="594" spans="5:5">
      <c r="E594" s="50"/>
    </row>
    <row r="595" spans="5:5">
      <c r="E595" s="50"/>
    </row>
    <row r="596" spans="5:5">
      <c r="E596" s="50"/>
    </row>
    <row r="597" spans="5:5">
      <c r="E597" s="50"/>
    </row>
    <row r="598" spans="5:5">
      <c r="E598" s="50"/>
    </row>
    <row r="599" spans="5:5">
      <c r="E599" s="50"/>
    </row>
    <row r="600" spans="5:5">
      <c r="E600" s="50"/>
    </row>
    <row r="601" spans="5:5">
      <c r="E601" s="50"/>
    </row>
    <row r="602" spans="5:5">
      <c r="E602" s="50"/>
    </row>
    <row r="603" spans="5:5">
      <c r="E603" s="50"/>
    </row>
    <row r="604" spans="5:5">
      <c r="E604" s="50"/>
    </row>
    <row r="605" spans="5:5">
      <c r="E605" s="50"/>
    </row>
    <row r="606" spans="5:5">
      <c r="E606" s="50"/>
    </row>
    <row r="607" spans="5:5">
      <c r="E607" s="50"/>
    </row>
    <row r="608" spans="5:5">
      <c r="E608" s="50"/>
    </row>
    <row r="609" spans="5:5">
      <c r="E609" s="50"/>
    </row>
    <row r="610" spans="5:5">
      <c r="E610" s="50"/>
    </row>
    <row r="611" spans="5:5">
      <c r="E611" s="50"/>
    </row>
    <row r="612" spans="5:5">
      <c r="E612" s="50"/>
    </row>
    <row r="613" spans="5:5">
      <c r="E613" s="50"/>
    </row>
    <row r="614" spans="5:5">
      <c r="E614" s="50"/>
    </row>
    <row r="615" spans="5:5">
      <c r="E615" s="50"/>
    </row>
    <row r="616" spans="5:5">
      <c r="E616" s="50"/>
    </row>
    <row r="617" spans="5:5">
      <c r="E617" s="50"/>
    </row>
    <row r="618" spans="5:5">
      <c r="E618" s="50"/>
    </row>
    <row r="619" spans="5:5">
      <c r="E619" s="50"/>
    </row>
    <row r="620" spans="5:5">
      <c r="E620" s="50"/>
    </row>
    <row r="621" spans="5:5">
      <c r="E621" s="50"/>
    </row>
    <row r="622" spans="5:5">
      <c r="E622" s="50"/>
    </row>
    <row r="623" spans="5:5">
      <c r="E623" s="50"/>
    </row>
    <row r="624" spans="5:5">
      <c r="E624" s="50"/>
    </row>
    <row r="625" spans="5:5">
      <c r="E625" s="50"/>
    </row>
    <row r="626" spans="5:5">
      <c r="E626" s="50"/>
    </row>
    <row r="627" spans="5:5">
      <c r="E627" s="50"/>
    </row>
    <row r="628" spans="5:5">
      <c r="E628" s="50"/>
    </row>
    <row r="629" spans="5:5">
      <c r="E629" s="50"/>
    </row>
    <row r="630" spans="5:5">
      <c r="E630" s="50"/>
    </row>
    <row r="631" spans="5:5">
      <c r="E631" s="50"/>
    </row>
    <row r="632" spans="5:5">
      <c r="E632" s="50"/>
    </row>
    <row r="633" spans="5:5">
      <c r="E633" s="50"/>
    </row>
    <row r="634" spans="5:5">
      <c r="E634" s="50"/>
    </row>
    <row r="635" spans="5:5">
      <c r="E635" s="50"/>
    </row>
    <row r="636" spans="5:5">
      <c r="E636" s="50"/>
    </row>
    <row r="637" spans="5:5">
      <c r="E637" s="50"/>
    </row>
    <row r="638" spans="5:5">
      <c r="E638" s="50"/>
    </row>
    <row r="639" spans="5:5">
      <c r="E639" s="50"/>
    </row>
    <row r="640" spans="5:5">
      <c r="E640" s="50"/>
    </row>
    <row r="641" spans="5:5">
      <c r="E641" s="50"/>
    </row>
    <row r="642" spans="5:5">
      <c r="E642" s="50"/>
    </row>
    <row r="643" spans="5:5">
      <c r="E643" s="50"/>
    </row>
    <row r="644" spans="5:5">
      <c r="E644" s="50"/>
    </row>
    <row r="645" spans="5:5">
      <c r="E645" s="50"/>
    </row>
    <row r="646" spans="5:5">
      <c r="E646" s="50"/>
    </row>
    <row r="647" spans="5:5">
      <c r="E647" s="50"/>
    </row>
    <row r="648" spans="5:5">
      <c r="E648" s="50"/>
    </row>
    <row r="649" spans="5:5">
      <c r="E649" s="50"/>
    </row>
    <row r="650" spans="5:5">
      <c r="E650" s="50"/>
    </row>
    <row r="651" spans="5:5">
      <c r="E651" s="50"/>
    </row>
    <row r="652" spans="5:5">
      <c r="E652" s="50"/>
    </row>
    <row r="653" spans="5:5">
      <c r="E653" s="50"/>
    </row>
    <row r="654" spans="5:5">
      <c r="E654" s="50"/>
    </row>
    <row r="655" spans="5:5">
      <c r="E655" s="50"/>
    </row>
    <row r="656" spans="5:5">
      <c r="E656" s="50"/>
    </row>
    <row r="657" spans="5:5">
      <c r="E657" s="50"/>
    </row>
    <row r="658" spans="5:5">
      <c r="E658" s="50"/>
    </row>
    <row r="659" spans="5:5">
      <c r="E659" s="50"/>
    </row>
    <row r="660" spans="5:5">
      <c r="E660" s="50"/>
    </row>
    <row r="661" spans="5:5">
      <c r="E661" s="50"/>
    </row>
    <row r="662" spans="5:5">
      <c r="E662" s="50"/>
    </row>
    <row r="663" spans="5:5">
      <c r="E663" s="50"/>
    </row>
    <row r="664" spans="5:5">
      <c r="E664" s="50"/>
    </row>
    <row r="665" spans="5:5">
      <c r="E665" s="50"/>
    </row>
    <row r="666" spans="5:5">
      <c r="E666" s="50"/>
    </row>
    <row r="667" spans="5:5">
      <c r="E667" s="50"/>
    </row>
    <row r="668" spans="5:5">
      <c r="E668" s="50"/>
    </row>
    <row r="669" spans="5:5">
      <c r="E669" s="50"/>
    </row>
    <row r="670" spans="5:5">
      <c r="E670" s="50"/>
    </row>
    <row r="671" spans="5:5">
      <c r="E671" s="50"/>
    </row>
    <row r="672" spans="5:5">
      <c r="E672" s="50"/>
    </row>
    <row r="673" spans="5:5">
      <c r="E673" s="50"/>
    </row>
    <row r="674" spans="5:5">
      <c r="E674" s="50"/>
    </row>
    <row r="675" spans="5:5">
      <c r="E675" s="50"/>
    </row>
    <row r="676" spans="5:5">
      <c r="E676" s="50"/>
    </row>
    <row r="677" spans="5:5">
      <c r="E677" s="50"/>
    </row>
    <row r="678" spans="5:5">
      <c r="E678" s="50"/>
    </row>
    <row r="679" spans="5:5">
      <c r="E679" s="50"/>
    </row>
    <row r="680" spans="5:5">
      <c r="E680" s="50"/>
    </row>
    <row r="681" spans="5:5">
      <c r="E681" s="50"/>
    </row>
    <row r="682" spans="5:5">
      <c r="E682" s="50"/>
    </row>
    <row r="683" spans="5:5">
      <c r="E683" s="50"/>
    </row>
    <row r="684" spans="5:5">
      <c r="E684" s="50"/>
    </row>
    <row r="685" spans="5:5">
      <c r="E685" s="50"/>
    </row>
    <row r="686" spans="5:5">
      <c r="E686" s="50"/>
    </row>
    <row r="687" spans="5:5">
      <c r="E687" s="50"/>
    </row>
    <row r="688" spans="5:5">
      <c r="E688" s="50"/>
    </row>
    <row r="689" spans="5:5">
      <c r="E689" s="50"/>
    </row>
    <row r="690" spans="5:5">
      <c r="E690" s="50"/>
    </row>
    <row r="691" spans="5:5">
      <c r="E691" s="50"/>
    </row>
    <row r="692" spans="5:5">
      <c r="E692" s="50"/>
    </row>
    <row r="693" spans="5:5">
      <c r="E693" s="50"/>
    </row>
    <row r="694" spans="5:5">
      <c r="E694" s="50"/>
    </row>
    <row r="695" spans="5:5">
      <c r="E695" s="50"/>
    </row>
    <row r="696" spans="5:5">
      <c r="E696" s="50"/>
    </row>
    <row r="697" spans="5:5">
      <c r="E697" s="50"/>
    </row>
    <row r="698" spans="5:5">
      <c r="E698" s="50"/>
    </row>
    <row r="699" spans="5:5">
      <c r="E699" s="50"/>
    </row>
    <row r="700" spans="5:5">
      <c r="E700" s="50"/>
    </row>
    <row r="701" spans="5:5">
      <c r="E701" s="50"/>
    </row>
    <row r="702" spans="5:5">
      <c r="E702" s="50"/>
    </row>
    <row r="703" spans="5:5">
      <c r="E703" s="50"/>
    </row>
    <row r="704" spans="5:5">
      <c r="E704" s="50"/>
    </row>
    <row r="705" spans="5:5">
      <c r="E705" s="50"/>
    </row>
    <row r="706" spans="5:5">
      <c r="E706" s="50"/>
    </row>
    <row r="707" spans="5:5">
      <c r="E707" s="50"/>
    </row>
    <row r="708" spans="5:5">
      <c r="E708" s="50"/>
    </row>
    <row r="709" spans="5:5">
      <c r="E709" s="50"/>
    </row>
    <row r="710" spans="5:5">
      <c r="E710" s="50"/>
    </row>
    <row r="711" spans="5:5">
      <c r="E711" s="50"/>
    </row>
    <row r="712" spans="5:5">
      <c r="E712" s="50"/>
    </row>
    <row r="713" spans="5:5">
      <c r="E713" s="50"/>
    </row>
    <row r="714" spans="5:5">
      <c r="E714" s="50"/>
    </row>
    <row r="715" spans="5:5">
      <c r="E715" s="50"/>
    </row>
    <row r="716" spans="5:5">
      <c r="E716" s="50"/>
    </row>
    <row r="717" spans="5:5">
      <c r="E717" s="50"/>
    </row>
    <row r="718" spans="5:5">
      <c r="E718" s="50"/>
    </row>
    <row r="719" spans="5:5">
      <c r="E719" s="50"/>
    </row>
    <row r="720" spans="5:5">
      <c r="E720" s="50"/>
    </row>
    <row r="721" spans="5:5">
      <c r="E721" s="50"/>
    </row>
    <row r="722" spans="5:5">
      <c r="E722" s="50"/>
    </row>
    <row r="723" spans="5:5">
      <c r="E723" s="50"/>
    </row>
    <row r="724" spans="5:5">
      <c r="E724" s="50"/>
    </row>
    <row r="725" spans="5:5">
      <c r="E725" s="50"/>
    </row>
    <row r="726" spans="5:5">
      <c r="E726" s="50"/>
    </row>
    <row r="727" spans="5:5">
      <c r="E727" s="50"/>
    </row>
    <row r="728" spans="5:5">
      <c r="E728" s="50"/>
    </row>
    <row r="729" spans="5:5">
      <c r="E729" s="50"/>
    </row>
    <row r="730" spans="5:5">
      <c r="E730" s="50"/>
    </row>
    <row r="731" spans="5:5">
      <c r="E731" s="50"/>
    </row>
    <row r="732" spans="5:5">
      <c r="E732" s="50"/>
    </row>
    <row r="733" spans="5:5">
      <c r="E733" s="50"/>
    </row>
    <row r="734" spans="5:5">
      <c r="E734" s="50"/>
    </row>
    <row r="735" spans="5:5">
      <c r="E735" s="50"/>
    </row>
    <row r="736" spans="5:5">
      <c r="E736" s="50"/>
    </row>
    <row r="737" spans="5:5">
      <c r="E737" s="50"/>
    </row>
    <row r="738" spans="5:5">
      <c r="E738" s="50"/>
    </row>
    <row r="739" spans="5:5">
      <c r="E739" s="50"/>
    </row>
    <row r="740" spans="5:5">
      <c r="E740" s="50"/>
    </row>
    <row r="741" spans="5:5">
      <c r="E741" s="50"/>
    </row>
    <row r="742" spans="5:5">
      <c r="E742" s="50"/>
    </row>
    <row r="743" spans="5:5">
      <c r="E743" s="50"/>
    </row>
    <row r="744" spans="5:5">
      <c r="E744" s="50"/>
    </row>
    <row r="745" spans="5:5">
      <c r="E745" s="50"/>
    </row>
    <row r="746" spans="5:5">
      <c r="E746" s="50"/>
    </row>
    <row r="747" spans="5:5">
      <c r="E747" s="50"/>
    </row>
    <row r="748" spans="5:5">
      <c r="E748" s="50"/>
    </row>
    <row r="749" spans="5:5">
      <c r="E749" s="50"/>
    </row>
    <row r="750" spans="5:5">
      <c r="E750" s="50"/>
    </row>
    <row r="751" spans="5:5">
      <c r="E751" s="50"/>
    </row>
    <row r="752" spans="5:5">
      <c r="E752" s="50"/>
    </row>
    <row r="753" spans="5:5">
      <c r="E753" s="50"/>
    </row>
    <row r="754" spans="5:5">
      <c r="E754" s="50"/>
    </row>
    <row r="755" spans="5:5">
      <c r="E755" s="50"/>
    </row>
    <row r="756" spans="5:5">
      <c r="E756" s="50"/>
    </row>
    <row r="757" spans="5:5">
      <c r="E757" s="50"/>
    </row>
    <row r="758" spans="5:5">
      <c r="E758" s="50"/>
    </row>
    <row r="759" spans="5:5">
      <c r="E759" s="50"/>
    </row>
    <row r="760" spans="5:5">
      <c r="E760" s="50"/>
    </row>
    <row r="761" spans="5:5">
      <c r="E761" s="50"/>
    </row>
    <row r="762" spans="5:5">
      <c r="E762" s="50"/>
    </row>
    <row r="763" spans="5:5">
      <c r="E763" s="50"/>
    </row>
    <row r="764" spans="5:5">
      <c r="E764" s="50"/>
    </row>
    <row r="765" spans="5:5">
      <c r="E765" s="50"/>
    </row>
    <row r="766" spans="5:5">
      <c r="E766" s="50"/>
    </row>
    <row r="767" spans="5:5">
      <c r="E767" s="50"/>
    </row>
    <row r="768" spans="5:5">
      <c r="E768" s="50"/>
    </row>
    <row r="769" spans="5:5">
      <c r="E769" s="50"/>
    </row>
    <row r="770" spans="5:5">
      <c r="E770" s="50"/>
    </row>
    <row r="771" spans="5:5">
      <c r="E771" s="50"/>
    </row>
    <row r="772" spans="5:5">
      <c r="E772" s="50"/>
    </row>
    <row r="773" spans="5:5">
      <c r="E773" s="50"/>
    </row>
    <row r="774" spans="5:5">
      <c r="E774" s="50"/>
    </row>
    <row r="775" spans="5:5">
      <c r="E775" s="50"/>
    </row>
    <row r="776" spans="5:5">
      <c r="E776" s="50"/>
    </row>
    <row r="777" spans="5:5">
      <c r="E777" s="50"/>
    </row>
    <row r="778" spans="5:5">
      <c r="E778" s="50"/>
    </row>
    <row r="779" spans="5:5">
      <c r="E779" s="50"/>
    </row>
    <row r="780" spans="5:5">
      <c r="E780" s="50"/>
    </row>
    <row r="781" spans="5:5">
      <c r="E781" s="50"/>
    </row>
    <row r="782" spans="5:5">
      <c r="E782" s="50"/>
    </row>
    <row r="783" spans="5:5">
      <c r="E783" s="50"/>
    </row>
    <row r="784" spans="5:5">
      <c r="E784" s="50"/>
    </row>
    <row r="785" spans="5:5">
      <c r="E785" s="50"/>
    </row>
    <row r="786" spans="5:5">
      <c r="E786" s="50"/>
    </row>
    <row r="787" spans="5:5">
      <c r="E787" s="50"/>
    </row>
    <row r="788" spans="5:5">
      <c r="E788" s="50"/>
    </row>
    <row r="789" spans="5:5">
      <c r="E789" s="50"/>
    </row>
    <row r="790" spans="5:5">
      <c r="E790" s="50"/>
    </row>
    <row r="791" spans="5:5">
      <c r="E791" s="50"/>
    </row>
    <row r="792" spans="5:5">
      <c r="E792" s="50"/>
    </row>
    <row r="793" spans="5:5">
      <c r="E793" s="50"/>
    </row>
    <row r="794" spans="5:5">
      <c r="E794" s="50"/>
    </row>
    <row r="795" spans="5:5">
      <c r="E795" s="50"/>
    </row>
    <row r="796" spans="5:5">
      <c r="E796" s="50"/>
    </row>
    <row r="797" spans="5:5">
      <c r="E797" s="50"/>
    </row>
    <row r="798" spans="5:5">
      <c r="E798" s="50"/>
    </row>
    <row r="799" spans="5:5">
      <c r="E799" s="50"/>
    </row>
    <row r="800" spans="5:5">
      <c r="E800" s="50"/>
    </row>
    <row r="801" spans="5:5">
      <c r="E801" s="50"/>
    </row>
    <row r="802" spans="5:5">
      <c r="E802" s="50"/>
    </row>
    <row r="803" spans="5:5">
      <c r="E803" s="50"/>
    </row>
    <row r="804" spans="5:5">
      <c r="E804" s="50"/>
    </row>
    <row r="805" spans="5:5">
      <c r="E805" s="50"/>
    </row>
    <row r="806" spans="5:5">
      <c r="E806" s="50"/>
    </row>
    <row r="807" spans="5:5">
      <c r="E807" s="50"/>
    </row>
    <row r="808" spans="5:5">
      <c r="E808" s="50"/>
    </row>
    <row r="809" spans="5:5">
      <c r="E809" s="50"/>
    </row>
    <row r="810" spans="5:5">
      <c r="E810" s="50"/>
    </row>
    <row r="811" spans="5:5">
      <c r="E811" s="50"/>
    </row>
    <row r="812" spans="5:5">
      <c r="E812" s="50"/>
    </row>
    <row r="813" spans="5:5">
      <c r="E813" s="50"/>
    </row>
    <row r="814" spans="5:5">
      <c r="E814" s="50"/>
    </row>
    <row r="815" spans="5:5">
      <c r="E815" s="50"/>
    </row>
    <row r="816" spans="5:5">
      <c r="E816" s="50"/>
    </row>
    <row r="817" spans="5:5">
      <c r="E817" s="50"/>
    </row>
    <row r="818" spans="5:5">
      <c r="E818" s="50"/>
    </row>
    <row r="819" spans="5:5">
      <c r="E819" s="50"/>
    </row>
    <row r="820" spans="5:5">
      <c r="E820" s="50"/>
    </row>
    <row r="821" spans="5:5">
      <c r="E821" s="50"/>
    </row>
    <row r="822" spans="5:5">
      <c r="E822" s="50"/>
    </row>
    <row r="823" spans="5:5">
      <c r="E823" s="50"/>
    </row>
    <row r="824" spans="5:5">
      <c r="E824" s="50"/>
    </row>
    <row r="825" spans="5:5">
      <c r="E825" s="50"/>
    </row>
    <row r="826" spans="5:5">
      <c r="E826" s="50"/>
    </row>
    <row r="827" spans="5:5">
      <c r="E827" s="50"/>
    </row>
    <row r="828" spans="5:5">
      <c r="E828" s="50"/>
    </row>
    <row r="829" spans="5:5">
      <c r="E829" s="50"/>
    </row>
    <row r="830" spans="5:5">
      <c r="E830" s="50"/>
    </row>
    <row r="831" spans="5:5">
      <c r="E831" s="50"/>
    </row>
    <row r="832" spans="5:5">
      <c r="E832" s="50"/>
    </row>
    <row r="833" spans="5:5">
      <c r="E833" s="50"/>
    </row>
    <row r="834" spans="5:5">
      <c r="E834" s="50"/>
    </row>
    <row r="835" spans="5:5">
      <c r="E835" s="50"/>
    </row>
    <row r="836" spans="5:5">
      <c r="E836" s="50"/>
    </row>
    <row r="837" spans="5:5">
      <c r="E837" s="50"/>
    </row>
    <row r="838" spans="5:5">
      <c r="E838" s="50"/>
    </row>
    <row r="839" spans="5:5">
      <c r="E839" s="50"/>
    </row>
    <row r="840" spans="5:5">
      <c r="E840" s="50"/>
    </row>
    <row r="841" spans="5:5">
      <c r="E841" s="50"/>
    </row>
    <row r="842" spans="5:5">
      <c r="E842" s="50"/>
    </row>
    <row r="843" spans="5:5">
      <c r="E843" s="50"/>
    </row>
    <row r="844" spans="5:5">
      <c r="E844" s="50"/>
    </row>
    <row r="845" spans="5:5">
      <c r="E845" s="50"/>
    </row>
    <row r="846" spans="5:5">
      <c r="E846" s="50"/>
    </row>
    <row r="847" spans="5:5">
      <c r="E847" s="50"/>
    </row>
    <row r="848" spans="5:5">
      <c r="E848" s="50"/>
    </row>
    <row r="849" spans="5:5">
      <c r="E849" s="50"/>
    </row>
    <row r="850" spans="5:5">
      <c r="E850" s="50"/>
    </row>
    <row r="851" spans="5:5">
      <c r="E851" s="50"/>
    </row>
    <row r="852" spans="5:5">
      <c r="E852" s="50"/>
    </row>
    <row r="853" spans="5:5">
      <c r="E853" s="50"/>
    </row>
    <row r="854" spans="5:5">
      <c r="E854" s="50"/>
    </row>
    <row r="855" spans="5:5">
      <c r="E855" s="50"/>
    </row>
    <row r="856" spans="5:5">
      <c r="E856" s="50"/>
    </row>
    <row r="857" spans="5:5">
      <c r="E857" s="50"/>
    </row>
    <row r="858" spans="5:5">
      <c r="E858" s="50"/>
    </row>
    <row r="859" spans="5:5">
      <c r="E859" s="50"/>
    </row>
    <row r="860" spans="5:5">
      <c r="E860" s="50"/>
    </row>
    <row r="861" spans="5:5">
      <c r="E861" s="50"/>
    </row>
    <row r="862" spans="5:5">
      <c r="E862" s="50"/>
    </row>
    <row r="863" spans="5:5">
      <c r="E863" s="50"/>
    </row>
    <row r="864" spans="5:5">
      <c r="E864" s="50"/>
    </row>
    <row r="865" spans="5:5">
      <c r="E865" s="50"/>
    </row>
    <row r="866" spans="5:5">
      <c r="E866" s="50"/>
    </row>
    <row r="867" spans="5:5">
      <c r="E867" s="50"/>
    </row>
    <row r="868" spans="5:5">
      <c r="E868" s="50"/>
    </row>
    <row r="869" spans="5:5">
      <c r="E869" s="50"/>
    </row>
    <row r="870" spans="5:5">
      <c r="E870" s="50"/>
    </row>
    <row r="871" spans="5:5">
      <c r="E871" s="50"/>
    </row>
    <row r="872" spans="5:5">
      <c r="E872" s="50"/>
    </row>
    <row r="873" spans="5:5">
      <c r="E873" s="50"/>
    </row>
    <row r="874" spans="5:5">
      <c r="E874" s="50"/>
    </row>
    <row r="875" spans="5:5">
      <c r="E875" s="50"/>
    </row>
    <row r="876" spans="5:5">
      <c r="E876" s="50"/>
    </row>
    <row r="877" spans="5:5">
      <c r="E877" s="50"/>
    </row>
    <row r="878" spans="5:5">
      <c r="E878" s="50"/>
    </row>
    <row r="879" spans="5:5">
      <c r="E879" s="50"/>
    </row>
    <row r="880" spans="5:5">
      <c r="E880" s="50"/>
    </row>
    <row r="881" spans="5:5">
      <c r="E881" s="50"/>
    </row>
    <row r="882" spans="5:5">
      <c r="E882" s="50"/>
    </row>
    <row r="883" spans="5:5">
      <c r="E883" s="50"/>
    </row>
    <row r="884" spans="5:5">
      <c r="E884" s="50"/>
    </row>
    <row r="885" spans="5:5">
      <c r="E885" s="50"/>
    </row>
    <row r="886" spans="5:5">
      <c r="E886" s="50"/>
    </row>
    <row r="887" spans="5:5">
      <c r="E887" s="50"/>
    </row>
    <row r="888" spans="5:5">
      <c r="E888" s="50"/>
    </row>
    <row r="889" spans="5:5">
      <c r="E889" s="50"/>
    </row>
    <row r="890" spans="5:5">
      <c r="E890" s="50"/>
    </row>
    <row r="891" spans="5:5">
      <c r="E891" s="50"/>
    </row>
    <row r="892" spans="5:5">
      <c r="E892" s="50"/>
    </row>
    <row r="893" spans="5:5">
      <c r="E893" s="50"/>
    </row>
    <row r="894" spans="5:5">
      <c r="E894" s="50"/>
    </row>
    <row r="895" spans="5:5">
      <c r="E895" s="50"/>
    </row>
    <row r="896" spans="5:5">
      <c r="E896" s="50"/>
    </row>
    <row r="897" spans="5:5">
      <c r="E897" s="50"/>
    </row>
    <row r="898" spans="5:5">
      <c r="E898" s="50"/>
    </row>
    <row r="899" spans="5:5">
      <c r="E899" s="50"/>
    </row>
    <row r="900" spans="5:5">
      <c r="E900" s="50"/>
    </row>
    <row r="901" spans="5:5">
      <c r="E901" s="50"/>
    </row>
    <row r="902" spans="5:5">
      <c r="E902" s="50"/>
    </row>
    <row r="903" spans="5:5">
      <c r="E903" s="50"/>
    </row>
    <row r="904" spans="5:5">
      <c r="E904" s="50"/>
    </row>
    <row r="905" spans="5:5">
      <c r="E905" s="50"/>
    </row>
    <row r="906" spans="5:5">
      <c r="E906" s="50"/>
    </row>
    <row r="907" spans="5:5">
      <c r="E907" s="50"/>
    </row>
    <row r="908" spans="5:5">
      <c r="E908" s="50"/>
    </row>
    <row r="909" spans="5:5">
      <c r="E909" s="50"/>
    </row>
    <row r="910" spans="5:5">
      <c r="E910" s="50"/>
    </row>
    <row r="911" spans="5:5">
      <c r="E911" s="50"/>
    </row>
    <row r="912" spans="5:5">
      <c r="E912" s="50"/>
    </row>
    <row r="913" spans="5:5">
      <c r="E913" s="50"/>
    </row>
    <row r="914" spans="5:5">
      <c r="E914" s="50"/>
    </row>
    <row r="915" spans="5:5">
      <c r="E915" s="50"/>
    </row>
    <row r="916" spans="5:5">
      <c r="E916" s="50"/>
    </row>
    <row r="917" spans="5:5">
      <c r="E917" s="50"/>
    </row>
    <row r="918" spans="5:5">
      <c r="E918" s="50"/>
    </row>
    <row r="919" spans="5:5">
      <c r="E919" s="50"/>
    </row>
    <row r="920" spans="5:5">
      <c r="E920" s="50"/>
    </row>
    <row r="921" spans="5:5">
      <c r="E921" s="50"/>
    </row>
    <row r="922" spans="5:5">
      <c r="E922" s="50"/>
    </row>
    <row r="923" spans="5:5">
      <c r="E923" s="50"/>
    </row>
  </sheetData>
  <mergeCells count="1">
    <mergeCell ref="A1:Y1"/>
  </mergeCells>
  <dataValidations count="6">
    <dataValidation allowBlank="1" prompt="Select an OCI Region." sqref="A2 A5" xr:uid="{995BB45D-EDE0-9C44-8B84-4B4A4C38C563}"/>
    <dataValidation allowBlank="1" sqref="C3:D4 Q14:S15 X2:XFD4 C6:D1048576 Q16:U1048576 Q6:T13 W5:XFD1048576 V6:V13 A1 Z1:XFD1 Q5:U5 U5:U13 Q2:U2 W2 L5:M1048576 B2:H2 I2:M4 B5:M5 F6:K1048576" xr:uid="{33A0BCB3-4009-9940-BFA1-E2CB2D361EE1}"/>
    <dataValidation type="list" allowBlank="1" showInputMessage="1" sqref="P1:P1048576" xr:uid="{A5FDBD08-A99F-B740-88A1-851AD4AB8DB0}">
      <formula1>"BRING_YOUR_OWN_LICENSE,LICENSE_INCLUDED"</formula1>
    </dataValidation>
    <dataValidation type="list" allowBlank="1" showInputMessage="1" sqref="O1:O1048576" xr:uid="{9E1C7F79-F5D9-964F-BDC3-EB4313650312}">
      <formula1>"LakeHouse,ATP,JSON,APEX"</formula1>
    </dataValidation>
    <dataValidation type="list" sqref="N1:N1048576" xr:uid="{EE023586-C61D-3344-A926-3B6FA7E51E26}">
      <formula1>"STANDARD_EDITION,ENTERPRISE_EDITION"</formula1>
    </dataValidation>
    <dataValidation type="list" allowBlank="1" sqref="V1:V1048576" xr:uid="{C22A7240-264B-E047-BCCC-3956BA7D9F84}">
      <formula1>"EARLY,REGULAR"</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920-E339-A34A-868B-703334E9F0D5}">
  <sheetPr>
    <tabColor theme="8" tint="0.59999389629810485"/>
  </sheetPr>
  <dimension ref="A1:R923"/>
  <sheetViews>
    <sheetView workbookViewId="0">
      <selection activeCell="B19" sqref="B19"/>
    </sheetView>
  </sheetViews>
  <sheetFormatPr baseColWidth="10" defaultColWidth="8.5" defaultRowHeight="15"/>
  <cols>
    <col min="1" max="1" width="10.5" bestFit="1" customWidth="1"/>
    <col min="2" max="2" width="16.5" bestFit="1" customWidth="1"/>
    <col min="3" max="3" width="32.1640625" bestFit="1" customWidth="1"/>
    <col min="4" max="4" width="17.6640625" bestFit="1" customWidth="1"/>
    <col min="5" max="5" width="16.5" customWidth="1"/>
    <col min="8" max="9" width="0" hidden="1" customWidth="1"/>
    <col min="10" max="10" width="11.5" customWidth="1"/>
    <col min="11" max="11" width="18" bestFit="1" customWidth="1"/>
    <col min="12" max="12" width="9.5" customWidth="1"/>
    <col min="13" max="13" width="11.5" customWidth="1"/>
    <col min="14" max="14" width="14.6640625" customWidth="1"/>
    <col min="15" max="16" width="11.5" customWidth="1"/>
    <col min="17" max="17" width="19.5" bestFit="1" customWidth="1"/>
    <col min="18" max="18" width="20.1640625" customWidth="1"/>
  </cols>
  <sheetData>
    <row r="1" spans="1:18" ht="56" customHeight="1">
      <c r="A1" s="69" t="s">
        <v>541</v>
      </c>
      <c r="B1" s="67"/>
      <c r="C1" s="67"/>
      <c r="D1" s="67"/>
      <c r="E1" s="67"/>
      <c r="F1" s="67"/>
      <c r="G1" s="67"/>
      <c r="H1" s="67"/>
      <c r="I1" s="67"/>
      <c r="J1" s="67"/>
      <c r="K1" s="67"/>
      <c r="L1" s="67"/>
      <c r="M1" s="67"/>
      <c r="N1" s="67"/>
      <c r="O1" s="67"/>
      <c r="P1" s="67"/>
      <c r="Q1" s="67"/>
      <c r="R1" s="67"/>
    </row>
    <row r="2" spans="1:18" ht="48">
      <c r="A2" s="47" t="s">
        <v>498</v>
      </c>
      <c r="B2" s="47" t="s">
        <v>499</v>
      </c>
      <c r="C2" s="47" t="s">
        <v>500</v>
      </c>
      <c r="D2" s="48" t="s">
        <v>478</v>
      </c>
      <c r="E2" s="47" t="s">
        <v>14</v>
      </c>
      <c r="F2" s="47" t="s">
        <v>479</v>
      </c>
      <c r="G2" s="47" t="s">
        <v>480</v>
      </c>
      <c r="H2" s="47" t="s">
        <v>481</v>
      </c>
      <c r="I2" s="47" t="s">
        <v>482</v>
      </c>
      <c r="J2" s="47" t="s">
        <v>483</v>
      </c>
      <c r="K2" s="47" t="s">
        <v>484</v>
      </c>
      <c r="L2" s="47" t="s">
        <v>485</v>
      </c>
      <c r="M2" s="47" t="s">
        <v>486</v>
      </c>
      <c r="N2" s="47" t="s">
        <v>487</v>
      </c>
      <c r="O2" s="47" t="s">
        <v>488</v>
      </c>
      <c r="P2" s="47" t="s">
        <v>489</v>
      </c>
      <c r="Q2" s="47" t="s">
        <v>503</v>
      </c>
      <c r="R2" s="49" t="s">
        <v>501</v>
      </c>
    </row>
    <row r="3" spans="1:18">
      <c r="A3" s="24" t="s">
        <v>514</v>
      </c>
      <c r="B3" s="24" t="s">
        <v>515</v>
      </c>
      <c r="C3" s="24" t="s">
        <v>535</v>
      </c>
      <c r="D3" s="24" t="s">
        <v>519</v>
      </c>
      <c r="E3" s="24" t="s">
        <v>490</v>
      </c>
      <c r="F3" s="24">
        <v>2</v>
      </c>
      <c r="G3" s="24">
        <v>3</v>
      </c>
      <c r="H3" s="24" t="s">
        <v>491</v>
      </c>
      <c r="I3" s="24" t="s">
        <v>492</v>
      </c>
      <c r="J3" s="24" t="s">
        <v>505</v>
      </c>
      <c r="K3" s="24" t="s">
        <v>504</v>
      </c>
      <c r="L3" s="24"/>
      <c r="M3" s="24"/>
      <c r="N3" s="24"/>
      <c r="O3" s="24"/>
      <c r="P3" s="24"/>
      <c r="Q3" s="24" t="s">
        <v>520</v>
      </c>
      <c r="R3" s="24" t="s">
        <v>476</v>
      </c>
    </row>
    <row r="4" spans="1:18">
      <c r="A4" s="24" t="s">
        <v>514</v>
      </c>
      <c r="B4" s="24" t="s">
        <v>515</v>
      </c>
      <c r="C4" s="24" t="s">
        <v>534</v>
      </c>
      <c r="D4" s="24" t="s">
        <v>536</v>
      </c>
      <c r="E4" s="24" t="s">
        <v>490</v>
      </c>
      <c r="F4" s="24">
        <v>2</v>
      </c>
      <c r="G4" s="24">
        <v>3</v>
      </c>
      <c r="H4" s="24" t="s">
        <v>491</v>
      </c>
      <c r="I4" s="24" t="s">
        <v>492</v>
      </c>
      <c r="J4" s="24" t="s">
        <v>505</v>
      </c>
      <c r="K4" s="24" t="s">
        <v>504</v>
      </c>
      <c r="L4" s="24"/>
      <c r="M4" s="24"/>
      <c r="N4" s="24"/>
      <c r="O4" s="24"/>
      <c r="P4" s="24"/>
      <c r="Q4" s="24" t="s">
        <v>520</v>
      </c>
      <c r="R4" s="24" t="s">
        <v>476</v>
      </c>
    </row>
    <row r="5" spans="1:18" ht="16">
      <c r="A5" s="59" t="s">
        <v>1</v>
      </c>
      <c r="B5" s="56"/>
      <c r="C5" s="56"/>
      <c r="D5" s="57"/>
      <c r="E5" s="56"/>
      <c r="F5" s="56"/>
      <c r="G5" s="56"/>
      <c r="H5" s="56"/>
      <c r="I5" s="56"/>
      <c r="J5" s="56"/>
      <c r="K5" s="56"/>
      <c r="L5" s="56"/>
      <c r="M5" s="56"/>
      <c r="N5" s="56"/>
      <c r="O5" s="56"/>
      <c r="P5" s="56"/>
      <c r="Q5" s="56"/>
      <c r="R5" s="58"/>
    </row>
    <row r="6" spans="1:18">
      <c r="E6" s="50"/>
    </row>
    <row r="7" spans="1:18">
      <c r="E7" s="50"/>
    </row>
    <row r="8" spans="1:18">
      <c r="E8" s="50"/>
    </row>
    <row r="9" spans="1:18">
      <c r="E9" s="50"/>
    </row>
    <row r="10" spans="1:18">
      <c r="E10" s="50"/>
      <c r="P10" s="55" t="s">
        <v>502</v>
      </c>
    </row>
    <row r="11" spans="1:18">
      <c r="E11" s="50"/>
    </row>
    <row r="12" spans="1:18">
      <c r="E12" s="50"/>
    </row>
    <row r="13" spans="1:18">
      <c r="E13" s="50"/>
    </row>
    <row r="14" spans="1:18">
      <c r="E14" s="50"/>
    </row>
    <row r="15" spans="1:18">
      <c r="E15" s="50"/>
    </row>
    <row r="16" spans="1:18">
      <c r="E16" s="50"/>
    </row>
    <row r="17" spans="5:5">
      <c r="E17" s="50"/>
    </row>
    <row r="18" spans="5:5">
      <c r="E18" s="50"/>
    </row>
    <row r="19" spans="5:5">
      <c r="E19" s="50"/>
    </row>
    <row r="20" spans="5:5">
      <c r="E20" s="50"/>
    </row>
    <row r="21" spans="5:5">
      <c r="E21" s="50"/>
    </row>
    <row r="22" spans="5:5">
      <c r="E22" s="50"/>
    </row>
    <row r="23" spans="5:5">
      <c r="E23" s="50"/>
    </row>
    <row r="24" spans="5:5">
      <c r="E24" s="50"/>
    </row>
    <row r="25" spans="5:5">
      <c r="E25" s="50"/>
    </row>
    <row r="26" spans="5:5">
      <c r="E26" s="50"/>
    </row>
    <row r="27" spans="5:5">
      <c r="E27" s="50"/>
    </row>
    <row r="28" spans="5:5">
      <c r="E28" s="50"/>
    </row>
    <row r="29" spans="5:5">
      <c r="E29" s="50"/>
    </row>
    <row r="30" spans="5:5">
      <c r="E30" s="50"/>
    </row>
    <row r="31" spans="5:5">
      <c r="E31" s="50"/>
    </row>
    <row r="32" spans="5:5">
      <c r="E32" s="50"/>
    </row>
    <row r="33" spans="5:5">
      <c r="E33" s="50"/>
    </row>
    <row r="34" spans="5:5">
      <c r="E34" s="50"/>
    </row>
    <row r="35" spans="5:5">
      <c r="E35" s="50"/>
    </row>
    <row r="36" spans="5:5">
      <c r="E36" s="50"/>
    </row>
    <row r="37" spans="5:5">
      <c r="E37" s="50"/>
    </row>
    <row r="38" spans="5:5">
      <c r="E38" s="50"/>
    </row>
    <row r="39" spans="5:5">
      <c r="E39" s="50"/>
    </row>
    <row r="40" spans="5:5">
      <c r="E40" s="50"/>
    </row>
    <row r="41" spans="5:5">
      <c r="E41" s="50"/>
    </row>
    <row r="42" spans="5:5">
      <c r="E42" s="50"/>
    </row>
    <row r="43" spans="5:5">
      <c r="E43" s="50"/>
    </row>
    <row r="44" spans="5:5">
      <c r="E44" s="50"/>
    </row>
    <row r="45" spans="5:5">
      <c r="E45" s="50"/>
    </row>
    <row r="46" spans="5:5">
      <c r="E46" s="50"/>
    </row>
    <row r="47" spans="5:5">
      <c r="E47" s="50"/>
    </row>
    <row r="48" spans="5:5">
      <c r="E48" s="50"/>
    </row>
    <row r="49" spans="5:5">
      <c r="E49" s="50"/>
    </row>
    <row r="50" spans="5:5">
      <c r="E50" s="50"/>
    </row>
    <row r="51" spans="5:5">
      <c r="E51" s="50"/>
    </row>
    <row r="52" spans="5:5">
      <c r="E52" s="50"/>
    </row>
    <row r="53" spans="5:5">
      <c r="E53" s="50"/>
    </row>
    <row r="54" spans="5:5">
      <c r="E54" s="50"/>
    </row>
    <row r="55" spans="5:5">
      <c r="E55" s="50"/>
    </row>
    <row r="56" spans="5:5">
      <c r="E56" s="50"/>
    </row>
    <row r="57" spans="5:5">
      <c r="E57" s="50"/>
    </row>
    <row r="58" spans="5:5">
      <c r="E58" s="50"/>
    </row>
    <row r="59" spans="5:5">
      <c r="E59" s="50"/>
    </row>
    <row r="60" spans="5:5">
      <c r="E60" s="50"/>
    </row>
    <row r="61" spans="5:5">
      <c r="E61" s="50"/>
    </row>
    <row r="62" spans="5:5">
      <c r="E62" s="50"/>
    </row>
    <row r="63" spans="5:5">
      <c r="E63" s="50"/>
    </row>
    <row r="64" spans="5:5">
      <c r="E64" s="50"/>
    </row>
    <row r="65" spans="5:5">
      <c r="E65" s="50"/>
    </row>
    <row r="66" spans="5:5">
      <c r="E66" s="50"/>
    </row>
    <row r="67" spans="5:5">
      <c r="E67" s="50"/>
    </row>
    <row r="68" spans="5:5">
      <c r="E68" s="50"/>
    </row>
    <row r="69" spans="5:5">
      <c r="E69" s="50"/>
    </row>
    <row r="70" spans="5:5">
      <c r="E70" s="50"/>
    </row>
    <row r="71" spans="5:5">
      <c r="E71" s="50"/>
    </row>
    <row r="72" spans="5:5">
      <c r="E72" s="50"/>
    </row>
    <row r="73" spans="5:5">
      <c r="E73" s="50"/>
    </row>
    <row r="74" spans="5:5">
      <c r="E74" s="50"/>
    </row>
    <row r="75" spans="5:5">
      <c r="E75" s="50"/>
    </row>
    <row r="76" spans="5:5">
      <c r="E76" s="50"/>
    </row>
    <row r="77" spans="5:5">
      <c r="E77" s="50"/>
    </row>
    <row r="78" spans="5:5">
      <c r="E78" s="50"/>
    </row>
    <row r="79" spans="5:5">
      <c r="E79" s="50"/>
    </row>
    <row r="80" spans="5:5">
      <c r="E80" s="50"/>
    </row>
    <row r="81" spans="5:5">
      <c r="E81" s="50"/>
    </row>
    <row r="82" spans="5:5">
      <c r="E82" s="50"/>
    </row>
    <row r="83" spans="5:5">
      <c r="E83" s="50"/>
    </row>
    <row r="84" spans="5:5">
      <c r="E84" s="50"/>
    </row>
    <row r="85" spans="5:5">
      <c r="E85" s="50"/>
    </row>
    <row r="86" spans="5:5">
      <c r="E86" s="50"/>
    </row>
    <row r="87" spans="5:5">
      <c r="E87" s="50"/>
    </row>
    <row r="88" spans="5:5">
      <c r="E88" s="50"/>
    </row>
    <row r="89" spans="5:5">
      <c r="E89" s="50"/>
    </row>
    <row r="90" spans="5:5">
      <c r="E90" s="50"/>
    </row>
    <row r="91" spans="5:5">
      <c r="E91" s="50"/>
    </row>
    <row r="92" spans="5:5">
      <c r="E92" s="50"/>
    </row>
    <row r="93" spans="5:5">
      <c r="E93" s="50"/>
    </row>
    <row r="94" spans="5:5">
      <c r="E94" s="50"/>
    </row>
    <row r="95" spans="5:5">
      <c r="E95" s="50"/>
    </row>
    <row r="96" spans="5:5">
      <c r="E96" s="50"/>
    </row>
    <row r="97" spans="5:5">
      <c r="E97" s="50"/>
    </row>
    <row r="98" spans="5:5">
      <c r="E98" s="50"/>
    </row>
    <row r="99" spans="5:5">
      <c r="E99" s="50"/>
    </row>
    <row r="100" spans="5:5">
      <c r="E100" s="50"/>
    </row>
    <row r="101" spans="5:5">
      <c r="E101" s="50"/>
    </row>
    <row r="102" spans="5:5">
      <c r="E102" s="50"/>
    </row>
    <row r="103" spans="5:5">
      <c r="E103" s="50"/>
    </row>
    <row r="104" spans="5:5">
      <c r="E104" s="50"/>
    </row>
    <row r="105" spans="5:5">
      <c r="E105" s="50"/>
    </row>
    <row r="106" spans="5:5">
      <c r="E106" s="50"/>
    </row>
    <row r="107" spans="5:5">
      <c r="E107" s="50"/>
    </row>
    <row r="108" spans="5:5">
      <c r="E108" s="50"/>
    </row>
    <row r="109" spans="5:5">
      <c r="E109" s="50"/>
    </row>
    <row r="110" spans="5:5">
      <c r="E110" s="50"/>
    </row>
    <row r="111" spans="5:5">
      <c r="E111" s="50"/>
    </row>
    <row r="112" spans="5:5">
      <c r="E112" s="50"/>
    </row>
    <row r="113" spans="5:5">
      <c r="E113" s="50"/>
    </row>
    <row r="114" spans="5:5">
      <c r="E114" s="50"/>
    </row>
    <row r="115" spans="5:5">
      <c r="E115" s="50"/>
    </row>
    <row r="116" spans="5:5">
      <c r="E116" s="50"/>
    </row>
    <row r="117" spans="5:5">
      <c r="E117" s="50"/>
    </row>
    <row r="118" spans="5:5">
      <c r="E118" s="50"/>
    </row>
    <row r="119" spans="5:5">
      <c r="E119" s="50"/>
    </row>
    <row r="120" spans="5:5">
      <c r="E120" s="50"/>
    </row>
    <row r="121" spans="5:5">
      <c r="E121" s="50"/>
    </row>
    <row r="122" spans="5:5">
      <c r="E122" s="50"/>
    </row>
    <row r="123" spans="5:5">
      <c r="E123" s="50"/>
    </row>
    <row r="124" spans="5:5">
      <c r="E124" s="50"/>
    </row>
    <row r="125" spans="5:5">
      <c r="E125" s="50"/>
    </row>
    <row r="126" spans="5:5">
      <c r="E126" s="50"/>
    </row>
    <row r="127" spans="5:5">
      <c r="E127" s="50"/>
    </row>
    <row r="128" spans="5:5">
      <c r="E128" s="50"/>
    </row>
    <row r="129" spans="5:5">
      <c r="E129" s="50"/>
    </row>
    <row r="130" spans="5:5">
      <c r="E130" s="50"/>
    </row>
    <row r="131" spans="5:5">
      <c r="E131" s="50"/>
    </row>
    <row r="132" spans="5:5">
      <c r="E132" s="50"/>
    </row>
    <row r="133" spans="5:5">
      <c r="E133" s="50"/>
    </row>
    <row r="134" spans="5:5">
      <c r="E134" s="50"/>
    </row>
    <row r="135" spans="5:5">
      <c r="E135" s="50"/>
    </row>
    <row r="136" spans="5:5">
      <c r="E136" s="50"/>
    </row>
    <row r="137" spans="5:5">
      <c r="E137" s="50"/>
    </row>
    <row r="138" spans="5:5">
      <c r="E138" s="50"/>
    </row>
    <row r="139" spans="5:5">
      <c r="E139" s="50"/>
    </row>
    <row r="140" spans="5:5">
      <c r="E140" s="50"/>
    </row>
    <row r="141" spans="5:5">
      <c r="E141" s="50"/>
    </row>
    <row r="142" spans="5:5">
      <c r="E142" s="50"/>
    </row>
    <row r="143" spans="5:5">
      <c r="E143" s="50"/>
    </row>
    <row r="144" spans="5:5">
      <c r="E144" s="50"/>
    </row>
    <row r="145" spans="5:5">
      <c r="E145" s="50"/>
    </row>
    <row r="146" spans="5:5">
      <c r="E146" s="50"/>
    </row>
    <row r="147" spans="5:5">
      <c r="E147" s="50"/>
    </row>
    <row r="148" spans="5:5">
      <c r="E148" s="50"/>
    </row>
    <row r="149" spans="5:5">
      <c r="E149" s="50"/>
    </row>
    <row r="150" spans="5:5">
      <c r="E150" s="50"/>
    </row>
    <row r="151" spans="5:5">
      <c r="E151" s="50"/>
    </row>
    <row r="152" spans="5:5">
      <c r="E152" s="50"/>
    </row>
    <row r="153" spans="5:5">
      <c r="E153" s="50"/>
    </row>
    <row r="154" spans="5:5">
      <c r="E154" s="50"/>
    </row>
    <row r="155" spans="5:5">
      <c r="E155" s="50"/>
    </row>
    <row r="156" spans="5:5">
      <c r="E156" s="50"/>
    </row>
    <row r="157" spans="5:5">
      <c r="E157" s="50"/>
    </row>
    <row r="158" spans="5:5">
      <c r="E158" s="50"/>
    </row>
    <row r="159" spans="5:5">
      <c r="E159" s="50"/>
    </row>
    <row r="160" spans="5:5">
      <c r="E160" s="50"/>
    </row>
    <row r="161" spans="5:5">
      <c r="E161" s="50"/>
    </row>
    <row r="162" spans="5:5">
      <c r="E162" s="50"/>
    </row>
    <row r="163" spans="5:5">
      <c r="E163" s="50"/>
    </row>
    <row r="164" spans="5:5">
      <c r="E164" s="50"/>
    </row>
    <row r="165" spans="5:5">
      <c r="E165" s="50"/>
    </row>
    <row r="166" spans="5:5">
      <c r="E166" s="50"/>
    </row>
    <row r="167" spans="5:5">
      <c r="E167" s="50"/>
    </row>
    <row r="168" spans="5:5">
      <c r="E168" s="50"/>
    </row>
    <row r="169" spans="5:5">
      <c r="E169" s="50"/>
    </row>
    <row r="170" spans="5:5">
      <c r="E170" s="50"/>
    </row>
    <row r="171" spans="5:5">
      <c r="E171" s="50"/>
    </row>
    <row r="172" spans="5:5">
      <c r="E172" s="50"/>
    </row>
    <row r="173" spans="5:5">
      <c r="E173" s="50"/>
    </row>
    <row r="174" spans="5:5">
      <c r="E174" s="50"/>
    </row>
    <row r="175" spans="5:5">
      <c r="E175" s="50"/>
    </row>
    <row r="176" spans="5:5">
      <c r="E176" s="50"/>
    </row>
    <row r="177" spans="5:5">
      <c r="E177" s="50"/>
    </row>
    <row r="178" spans="5:5">
      <c r="E178" s="50"/>
    </row>
    <row r="179" spans="5:5">
      <c r="E179" s="50"/>
    </row>
    <row r="180" spans="5:5">
      <c r="E180" s="50"/>
    </row>
    <row r="181" spans="5:5">
      <c r="E181" s="50"/>
    </row>
    <row r="182" spans="5:5">
      <c r="E182" s="50"/>
    </row>
    <row r="183" spans="5:5">
      <c r="E183" s="50"/>
    </row>
    <row r="184" spans="5:5">
      <c r="E184" s="50"/>
    </row>
    <row r="185" spans="5:5">
      <c r="E185" s="50"/>
    </row>
    <row r="186" spans="5:5">
      <c r="E186" s="50"/>
    </row>
    <row r="187" spans="5:5">
      <c r="E187" s="50"/>
    </row>
    <row r="188" spans="5:5">
      <c r="E188" s="50"/>
    </row>
    <row r="189" spans="5:5">
      <c r="E189" s="50"/>
    </row>
    <row r="190" spans="5:5">
      <c r="E190" s="50"/>
    </row>
    <row r="191" spans="5:5">
      <c r="E191" s="50"/>
    </row>
    <row r="192" spans="5:5">
      <c r="E192" s="50"/>
    </row>
    <row r="193" spans="5:5">
      <c r="E193" s="50"/>
    </row>
    <row r="194" spans="5:5">
      <c r="E194" s="50"/>
    </row>
    <row r="195" spans="5:5">
      <c r="E195" s="50"/>
    </row>
    <row r="196" spans="5:5">
      <c r="E196" s="50"/>
    </row>
    <row r="197" spans="5:5">
      <c r="E197" s="50"/>
    </row>
    <row r="198" spans="5:5">
      <c r="E198" s="50"/>
    </row>
    <row r="199" spans="5:5">
      <c r="E199" s="50"/>
    </row>
    <row r="200" spans="5:5">
      <c r="E200" s="50"/>
    </row>
    <row r="201" spans="5:5">
      <c r="E201" s="50"/>
    </row>
    <row r="202" spans="5:5">
      <c r="E202" s="50"/>
    </row>
    <row r="203" spans="5:5">
      <c r="E203" s="50"/>
    </row>
    <row r="204" spans="5:5">
      <c r="E204" s="50"/>
    </row>
    <row r="205" spans="5:5">
      <c r="E205" s="50"/>
    </row>
    <row r="206" spans="5:5">
      <c r="E206" s="50"/>
    </row>
    <row r="207" spans="5:5">
      <c r="E207" s="50"/>
    </row>
    <row r="208" spans="5:5">
      <c r="E208" s="50"/>
    </row>
    <row r="209" spans="5:5">
      <c r="E209" s="50"/>
    </row>
    <row r="210" spans="5:5">
      <c r="E210" s="50"/>
    </row>
    <row r="211" spans="5:5">
      <c r="E211" s="50"/>
    </row>
    <row r="212" spans="5:5">
      <c r="E212" s="50"/>
    </row>
    <row r="213" spans="5:5">
      <c r="E213" s="50"/>
    </row>
    <row r="214" spans="5:5">
      <c r="E214" s="50"/>
    </row>
    <row r="215" spans="5:5">
      <c r="E215" s="50"/>
    </row>
    <row r="216" spans="5:5">
      <c r="E216" s="50"/>
    </row>
    <row r="217" spans="5:5">
      <c r="E217" s="50"/>
    </row>
    <row r="218" spans="5:5">
      <c r="E218" s="50"/>
    </row>
    <row r="219" spans="5:5">
      <c r="E219" s="50"/>
    </row>
    <row r="220" spans="5:5">
      <c r="E220" s="50"/>
    </row>
    <row r="221" spans="5:5">
      <c r="E221" s="50"/>
    </row>
    <row r="222" spans="5:5">
      <c r="E222" s="50"/>
    </row>
    <row r="223" spans="5:5">
      <c r="E223" s="50"/>
    </row>
    <row r="224" spans="5:5">
      <c r="E224" s="50"/>
    </row>
    <row r="225" spans="5:5">
      <c r="E225" s="50"/>
    </row>
    <row r="226" spans="5:5">
      <c r="E226" s="50"/>
    </row>
    <row r="227" spans="5:5">
      <c r="E227" s="50"/>
    </row>
    <row r="228" spans="5:5">
      <c r="E228" s="50"/>
    </row>
    <row r="229" spans="5:5">
      <c r="E229" s="50"/>
    </row>
    <row r="230" spans="5:5">
      <c r="E230" s="50"/>
    </row>
    <row r="231" spans="5:5">
      <c r="E231" s="50"/>
    </row>
    <row r="232" spans="5:5">
      <c r="E232" s="50"/>
    </row>
    <row r="233" spans="5:5">
      <c r="E233" s="50"/>
    </row>
    <row r="234" spans="5:5">
      <c r="E234" s="50"/>
    </row>
    <row r="235" spans="5:5">
      <c r="E235" s="50"/>
    </row>
    <row r="236" spans="5:5">
      <c r="E236" s="50"/>
    </row>
    <row r="237" spans="5:5">
      <c r="E237" s="50"/>
    </row>
    <row r="238" spans="5:5">
      <c r="E238" s="50"/>
    </row>
    <row r="239" spans="5:5">
      <c r="E239" s="50"/>
    </row>
    <row r="240" spans="5:5">
      <c r="E240" s="50"/>
    </row>
    <row r="241" spans="5:5">
      <c r="E241" s="50"/>
    </row>
    <row r="242" spans="5:5">
      <c r="E242" s="50"/>
    </row>
    <row r="243" spans="5:5">
      <c r="E243" s="50"/>
    </row>
    <row r="244" spans="5:5">
      <c r="E244" s="50"/>
    </row>
    <row r="245" spans="5:5">
      <c r="E245" s="50"/>
    </row>
    <row r="246" spans="5:5">
      <c r="E246" s="50"/>
    </row>
    <row r="247" spans="5:5">
      <c r="E247" s="50"/>
    </row>
    <row r="248" spans="5:5">
      <c r="E248" s="50"/>
    </row>
    <row r="249" spans="5:5">
      <c r="E249" s="50"/>
    </row>
    <row r="250" spans="5:5">
      <c r="E250" s="50"/>
    </row>
    <row r="251" spans="5:5">
      <c r="E251" s="50"/>
    </row>
    <row r="252" spans="5:5">
      <c r="E252" s="50"/>
    </row>
    <row r="253" spans="5:5">
      <c r="E253" s="50"/>
    </row>
    <row r="254" spans="5:5">
      <c r="E254" s="50"/>
    </row>
    <row r="255" spans="5:5">
      <c r="E255" s="50"/>
    </row>
    <row r="256" spans="5:5">
      <c r="E256" s="50"/>
    </row>
    <row r="257" spans="5:5">
      <c r="E257" s="50"/>
    </row>
    <row r="258" spans="5:5">
      <c r="E258" s="50"/>
    </row>
    <row r="259" spans="5:5">
      <c r="E259" s="50"/>
    </row>
    <row r="260" spans="5:5">
      <c r="E260" s="50"/>
    </row>
    <row r="261" spans="5:5">
      <c r="E261" s="50"/>
    </row>
    <row r="262" spans="5:5">
      <c r="E262" s="50"/>
    </row>
    <row r="263" spans="5:5">
      <c r="E263" s="50"/>
    </row>
    <row r="264" spans="5:5">
      <c r="E264" s="50"/>
    </row>
    <row r="265" spans="5:5">
      <c r="E265" s="50"/>
    </row>
    <row r="266" spans="5:5">
      <c r="E266" s="50"/>
    </row>
    <row r="267" spans="5:5">
      <c r="E267" s="50"/>
    </row>
    <row r="268" spans="5:5">
      <c r="E268" s="50"/>
    </row>
    <row r="269" spans="5:5">
      <c r="E269" s="50"/>
    </row>
    <row r="270" spans="5:5">
      <c r="E270" s="50"/>
    </row>
    <row r="271" spans="5:5">
      <c r="E271" s="50"/>
    </row>
    <row r="272" spans="5:5">
      <c r="E272" s="50"/>
    </row>
    <row r="273" spans="5:5">
      <c r="E273" s="50"/>
    </row>
    <row r="274" spans="5:5">
      <c r="E274" s="50"/>
    </row>
    <row r="275" spans="5:5">
      <c r="E275" s="50"/>
    </row>
    <row r="276" spans="5:5">
      <c r="E276" s="50"/>
    </row>
    <row r="277" spans="5:5">
      <c r="E277" s="50"/>
    </row>
    <row r="278" spans="5:5">
      <c r="E278" s="50"/>
    </row>
    <row r="279" spans="5:5">
      <c r="E279" s="50"/>
    </row>
    <row r="280" spans="5:5">
      <c r="E280" s="50"/>
    </row>
    <row r="281" spans="5:5">
      <c r="E281" s="50"/>
    </row>
    <row r="282" spans="5:5">
      <c r="E282" s="50"/>
    </row>
    <row r="283" spans="5:5">
      <c r="E283" s="50"/>
    </row>
    <row r="284" spans="5:5">
      <c r="E284" s="50"/>
    </row>
    <row r="285" spans="5:5">
      <c r="E285" s="50"/>
    </row>
    <row r="286" spans="5:5">
      <c r="E286" s="50"/>
    </row>
    <row r="287" spans="5:5">
      <c r="E287" s="50"/>
    </row>
    <row r="288" spans="5:5">
      <c r="E288" s="50"/>
    </row>
    <row r="289" spans="5:5">
      <c r="E289" s="50"/>
    </row>
    <row r="290" spans="5:5">
      <c r="E290" s="50"/>
    </row>
    <row r="291" spans="5:5">
      <c r="E291" s="50"/>
    </row>
    <row r="292" spans="5:5">
      <c r="E292" s="50"/>
    </row>
    <row r="293" spans="5:5">
      <c r="E293" s="50"/>
    </row>
    <row r="294" spans="5:5">
      <c r="E294" s="50"/>
    </row>
    <row r="295" spans="5:5">
      <c r="E295" s="50"/>
    </row>
    <row r="296" spans="5:5">
      <c r="E296" s="50"/>
    </row>
    <row r="297" spans="5:5">
      <c r="E297" s="50"/>
    </row>
    <row r="298" spans="5:5">
      <c r="E298" s="50"/>
    </row>
    <row r="299" spans="5:5">
      <c r="E299" s="50"/>
    </row>
    <row r="300" spans="5:5">
      <c r="E300" s="50"/>
    </row>
    <row r="301" spans="5:5">
      <c r="E301" s="50"/>
    </row>
    <row r="302" spans="5:5">
      <c r="E302" s="50"/>
    </row>
    <row r="303" spans="5:5">
      <c r="E303" s="50"/>
    </row>
    <row r="304" spans="5:5">
      <c r="E304" s="50"/>
    </row>
    <row r="305" spans="5:5">
      <c r="E305" s="50"/>
    </row>
    <row r="306" spans="5:5">
      <c r="E306" s="50"/>
    </row>
    <row r="307" spans="5:5">
      <c r="E307" s="50"/>
    </row>
    <row r="308" spans="5:5">
      <c r="E308" s="50"/>
    </row>
    <row r="309" spans="5:5">
      <c r="E309" s="50"/>
    </row>
    <row r="310" spans="5:5">
      <c r="E310" s="50"/>
    </row>
    <row r="311" spans="5:5">
      <c r="E311" s="50"/>
    </row>
    <row r="312" spans="5:5">
      <c r="E312" s="50"/>
    </row>
    <row r="313" spans="5:5">
      <c r="E313" s="50"/>
    </row>
    <row r="314" spans="5:5">
      <c r="E314" s="50"/>
    </row>
    <row r="315" spans="5:5">
      <c r="E315" s="50"/>
    </row>
    <row r="316" spans="5:5">
      <c r="E316" s="50"/>
    </row>
    <row r="317" spans="5:5">
      <c r="E317" s="50"/>
    </row>
    <row r="318" spans="5:5">
      <c r="E318" s="50"/>
    </row>
    <row r="319" spans="5:5">
      <c r="E319" s="50"/>
    </row>
    <row r="320" spans="5:5">
      <c r="E320" s="50"/>
    </row>
    <row r="321" spans="5:5">
      <c r="E321" s="50"/>
    </row>
    <row r="322" spans="5:5">
      <c r="E322" s="50"/>
    </row>
    <row r="323" spans="5:5">
      <c r="E323" s="50"/>
    </row>
    <row r="324" spans="5:5">
      <c r="E324" s="50"/>
    </row>
    <row r="325" spans="5:5">
      <c r="E325" s="50"/>
    </row>
    <row r="326" spans="5:5">
      <c r="E326" s="50"/>
    </row>
    <row r="327" spans="5:5">
      <c r="E327" s="50"/>
    </row>
    <row r="328" spans="5:5">
      <c r="E328" s="50"/>
    </row>
    <row r="329" spans="5:5">
      <c r="E329" s="50"/>
    </row>
    <row r="330" spans="5:5">
      <c r="E330" s="50"/>
    </row>
    <row r="331" spans="5:5">
      <c r="E331" s="50"/>
    </row>
    <row r="332" spans="5:5">
      <c r="E332" s="50"/>
    </row>
    <row r="333" spans="5:5">
      <c r="E333" s="50"/>
    </row>
    <row r="334" spans="5:5">
      <c r="E334" s="50"/>
    </row>
    <row r="335" spans="5:5">
      <c r="E335" s="50"/>
    </row>
    <row r="336" spans="5:5">
      <c r="E336" s="50"/>
    </row>
    <row r="337" spans="5:5">
      <c r="E337" s="50"/>
    </row>
    <row r="338" spans="5:5">
      <c r="E338" s="50"/>
    </row>
    <row r="339" spans="5:5">
      <c r="E339" s="50"/>
    </row>
    <row r="340" spans="5:5">
      <c r="E340" s="50"/>
    </row>
    <row r="341" spans="5:5">
      <c r="E341" s="50"/>
    </row>
    <row r="342" spans="5:5">
      <c r="E342" s="50"/>
    </row>
    <row r="343" spans="5:5">
      <c r="E343" s="50"/>
    </row>
    <row r="344" spans="5:5">
      <c r="E344" s="50"/>
    </row>
    <row r="345" spans="5:5">
      <c r="E345" s="50"/>
    </row>
    <row r="346" spans="5:5">
      <c r="E346" s="50"/>
    </row>
    <row r="347" spans="5:5">
      <c r="E347" s="50"/>
    </row>
    <row r="348" spans="5:5">
      <c r="E348" s="50"/>
    </row>
    <row r="349" spans="5:5">
      <c r="E349" s="50"/>
    </row>
    <row r="350" spans="5:5">
      <c r="E350" s="50"/>
    </row>
    <row r="351" spans="5:5">
      <c r="E351" s="50"/>
    </row>
    <row r="352" spans="5:5">
      <c r="E352" s="50"/>
    </row>
    <row r="353" spans="5:5">
      <c r="E353" s="50"/>
    </row>
    <row r="354" spans="5:5">
      <c r="E354" s="50"/>
    </row>
    <row r="355" spans="5:5">
      <c r="E355" s="50"/>
    </row>
    <row r="356" spans="5:5">
      <c r="E356" s="50"/>
    </row>
    <row r="357" spans="5:5">
      <c r="E357" s="50"/>
    </row>
    <row r="358" spans="5:5">
      <c r="E358" s="50"/>
    </row>
    <row r="359" spans="5:5">
      <c r="E359" s="50"/>
    </row>
    <row r="360" spans="5:5">
      <c r="E360" s="50"/>
    </row>
    <row r="361" spans="5:5">
      <c r="E361" s="50"/>
    </row>
    <row r="362" spans="5:5">
      <c r="E362" s="50"/>
    </row>
    <row r="363" spans="5:5">
      <c r="E363" s="50"/>
    </row>
    <row r="364" spans="5:5">
      <c r="E364" s="50"/>
    </row>
    <row r="365" spans="5:5">
      <c r="E365" s="50"/>
    </row>
    <row r="366" spans="5:5">
      <c r="E366" s="50"/>
    </row>
    <row r="367" spans="5:5">
      <c r="E367" s="50"/>
    </row>
    <row r="368" spans="5:5">
      <c r="E368" s="50"/>
    </row>
    <row r="369" spans="5:5">
      <c r="E369" s="50"/>
    </row>
    <row r="370" spans="5:5">
      <c r="E370" s="50"/>
    </row>
    <row r="371" spans="5:5">
      <c r="E371" s="50"/>
    </row>
    <row r="372" spans="5:5">
      <c r="E372" s="50"/>
    </row>
    <row r="373" spans="5:5">
      <c r="E373" s="50"/>
    </row>
    <row r="374" spans="5:5">
      <c r="E374" s="50"/>
    </row>
    <row r="375" spans="5:5">
      <c r="E375" s="50"/>
    </row>
    <row r="376" spans="5:5">
      <c r="E376" s="50"/>
    </row>
    <row r="377" spans="5:5">
      <c r="E377" s="50"/>
    </row>
    <row r="378" spans="5:5">
      <c r="E378" s="50"/>
    </row>
    <row r="379" spans="5:5">
      <c r="E379" s="50"/>
    </row>
    <row r="380" spans="5:5">
      <c r="E380" s="50"/>
    </row>
    <row r="381" spans="5:5">
      <c r="E381" s="50"/>
    </row>
    <row r="382" spans="5:5">
      <c r="E382" s="50"/>
    </row>
    <row r="383" spans="5:5">
      <c r="E383" s="50"/>
    </row>
    <row r="384" spans="5:5">
      <c r="E384" s="50"/>
    </row>
    <row r="385" spans="5:5">
      <c r="E385" s="50"/>
    </row>
    <row r="386" spans="5:5">
      <c r="E386" s="50"/>
    </row>
    <row r="387" spans="5:5">
      <c r="E387" s="50"/>
    </row>
    <row r="388" spans="5:5">
      <c r="E388" s="50"/>
    </row>
    <row r="389" spans="5:5">
      <c r="E389" s="50"/>
    </row>
    <row r="390" spans="5:5">
      <c r="E390" s="50"/>
    </row>
    <row r="391" spans="5:5">
      <c r="E391" s="50"/>
    </row>
    <row r="392" spans="5:5">
      <c r="E392" s="50"/>
    </row>
    <row r="393" spans="5:5">
      <c r="E393" s="50"/>
    </row>
    <row r="394" spans="5:5">
      <c r="E394" s="50"/>
    </row>
    <row r="395" spans="5:5">
      <c r="E395" s="50"/>
    </row>
    <row r="396" spans="5:5">
      <c r="E396" s="50"/>
    </row>
    <row r="397" spans="5:5">
      <c r="E397" s="50"/>
    </row>
    <row r="398" spans="5:5">
      <c r="E398" s="50"/>
    </row>
    <row r="399" spans="5:5">
      <c r="E399" s="50"/>
    </row>
    <row r="400" spans="5:5">
      <c r="E400" s="50"/>
    </row>
    <row r="401" spans="5:5">
      <c r="E401" s="50"/>
    </row>
    <row r="402" spans="5:5">
      <c r="E402" s="50"/>
    </row>
    <row r="403" spans="5:5">
      <c r="E403" s="50"/>
    </row>
    <row r="404" spans="5:5">
      <c r="E404" s="50"/>
    </row>
    <row r="405" spans="5:5">
      <c r="E405" s="50"/>
    </row>
    <row r="406" spans="5:5">
      <c r="E406" s="50"/>
    </row>
    <row r="407" spans="5:5">
      <c r="E407" s="50"/>
    </row>
    <row r="408" spans="5:5">
      <c r="E408" s="50"/>
    </row>
    <row r="409" spans="5:5">
      <c r="E409" s="50"/>
    </row>
    <row r="410" spans="5:5">
      <c r="E410" s="50"/>
    </row>
    <row r="411" spans="5:5">
      <c r="E411" s="50"/>
    </row>
    <row r="412" spans="5:5">
      <c r="E412" s="50"/>
    </row>
    <row r="413" spans="5:5">
      <c r="E413" s="50"/>
    </row>
    <row r="414" spans="5:5">
      <c r="E414" s="50"/>
    </row>
    <row r="415" spans="5:5">
      <c r="E415" s="50"/>
    </row>
    <row r="416" spans="5:5">
      <c r="E416" s="50"/>
    </row>
    <row r="417" spans="5:5">
      <c r="E417" s="50"/>
    </row>
    <row r="418" spans="5:5">
      <c r="E418" s="50"/>
    </row>
    <row r="419" spans="5:5">
      <c r="E419" s="50"/>
    </row>
    <row r="420" spans="5:5">
      <c r="E420" s="50"/>
    </row>
    <row r="421" spans="5:5">
      <c r="E421" s="50"/>
    </row>
    <row r="422" spans="5:5">
      <c r="E422" s="50"/>
    </row>
    <row r="423" spans="5:5">
      <c r="E423" s="50"/>
    </row>
    <row r="424" spans="5:5">
      <c r="E424" s="50"/>
    </row>
    <row r="425" spans="5:5">
      <c r="E425" s="50"/>
    </row>
    <row r="426" spans="5:5">
      <c r="E426" s="50"/>
    </row>
    <row r="427" spans="5:5">
      <c r="E427" s="50"/>
    </row>
    <row r="428" spans="5:5">
      <c r="E428" s="50"/>
    </row>
    <row r="429" spans="5:5">
      <c r="E429" s="50"/>
    </row>
    <row r="430" spans="5:5">
      <c r="E430" s="50"/>
    </row>
    <row r="431" spans="5:5">
      <c r="E431" s="50"/>
    </row>
    <row r="432" spans="5:5">
      <c r="E432" s="50"/>
    </row>
    <row r="433" spans="5:5">
      <c r="E433" s="50"/>
    </row>
    <row r="434" spans="5:5">
      <c r="E434" s="50"/>
    </row>
    <row r="435" spans="5:5">
      <c r="E435" s="50"/>
    </row>
    <row r="436" spans="5:5">
      <c r="E436" s="50"/>
    </row>
    <row r="437" spans="5:5">
      <c r="E437" s="50"/>
    </row>
    <row r="438" spans="5:5">
      <c r="E438" s="50"/>
    </row>
    <row r="439" spans="5:5">
      <c r="E439" s="50"/>
    </row>
    <row r="440" spans="5:5">
      <c r="E440" s="50"/>
    </row>
    <row r="441" spans="5:5">
      <c r="E441" s="50"/>
    </row>
    <row r="442" spans="5:5">
      <c r="E442" s="50"/>
    </row>
    <row r="443" spans="5:5">
      <c r="E443" s="50"/>
    </row>
    <row r="444" spans="5:5">
      <c r="E444" s="50"/>
    </row>
    <row r="445" spans="5:5">
      <c r="E445" s="50"/>
    </row>
    <row r="446" spans="5:5">
      <c r="E446" s="50"/>
    </row>
    <row r="447" spans="5:5">
      <c r="E447" s="50"/>
    </row>
    <row r="448" spans="5:5">
      <c r="E448" s="50"/>
    </row>
    <row r="449" spans="5:5">
      <c r="E449" s="50"/>
    </row>
    <row r="450" spans="5:5">
      <c r="E450" s="50"/>
    </row>
    <row r="451" spans="5:5">
      <c r="E451" s="50"/>
    </row>
    <row r="452" spans="5:5">
      <c r="E452" s="50"/>
    </row>
    <row r="453" spans="5:5">
      <c r="E453" s="50"/>
    </row>
    <row r="454" spans="5:5">
      <c r="E454" s="50"/>
    </row>
    <row r="455" spans="5:5">
      <c r="E455" s="50"/>
    </row>
    <row r="456" spans="5:5">
      <c r="E456" s="50"/>
    </row>
    <row r="457" spans="5:5">
      <c r="E457" s="50"/>
    </row>
    <row r="458" spans="5:5">
      <c r="E458" s="50"/>
    </row>
    <row r="459" spans="5:5">
      <c r="E459" s="50"/>
    </row>
    <row r="460" spans="5:5">
      <c r="E460" s="50"/>
    </row>
    <row r="461" spans="5:5">
      <c r="E461" s="50"/>
    </row>
    <row r="462" spans="5:5">
      <c r="E462" s="50"/>
    </row>
    <row r="463" spans="5:5">
      <c r="E463" s="50"/>
    </row>
    <row r="464" spans="5:5">
      <c r="E464" s="50"/>
    </row>
    <row r="465" spans="5:5">
      <c r="E465" s="50"/>
    </row>
    <row r="466" spans="5:5">
      <c r="E466" s="50"/>
    </row>
    <row r="467" spans="5:5">
      <c r="E467" s="50"/>
    </row>
    <row r="468" spans="5:5">
      <c r="E468" s="50"/>
    </row>
    <row r="469" spans="5:5">
      <c r="E469" s="50"/>
    </row>
    <row r="470" spans="5:5">
      <c r="E470" s="50"/>
    </row>
    <row r="471" spans="5:5">
      <c r="E471" s="50"/>
    </row>
    <row r="472" spans="5:5">
      <c r="E472" s="50"/>
    </row>
    <row r="473" spans="5:5">
      <c r="E473" s="50"/>
    </row>
    <row r="474" spans="5:5">
      <c r="E474" s="50"/>
    </row>
    <row r="475" spans="5:5">
      <c r="E475" s="50"/>
    </row>
    <row r="476" spans="5:5">
      <c r="E476" s="50"/>
    </row>
    <row r="477" spans="5:5">
      <c r="E477" s="50"/>
    </row>
    <row r="478" spans="5:5">
      <c r="E478" s="50"/>
    </row>
    <row r="479" spans="5:5">
      <c r="E479" s="50"/>
    </row>
    <row r="480" spans="5:5">
      <c r="E480" s="50"/>
    </row>
    <row r="481" spans="5:5">
      <c r="E481" s="50"/>
    </row>
    <row r="482" spans="5:5">
      <c r="E482" s="50"/>
    </row>
    <row r="483" spans="5:5">
      <c r="E483" s="50"/>
    </row>
    <row r="484" spans="5:5">
      <c r="E484" s="50"/>
    </row>
    <row r="485" spans="5:5">
      <c r="E485" s="50"/>
    </row>
    <row r="486" spans="5:5">
      <c r="E486" s="50"/>
    </row>
    <row r="487" spans="5:5">
      <c r="E487" s="50"/>
    </row>
    <row r="488" spans="5:5">
      <c r="E488" s="50"/>
    </row>
    <row r="489" spans="5:5">
      <c r="E489" s="50"/>
    </row>
    <row r="490" spans="5:5">
      <c r="E490" s="50"/>
    </row>
    <row r="491" spans="5:5">
      <c r="E491" s="50"/>
    </row>
    <row r="492" spans="5:5">
      <c r="E492" s="50"/>
    </row>
    <row r="493" spans="5:5">
      <c r="E493" s="50"/>
    </row>
    <row r="494" spans="5:5">
      <c r="E494" s="50"/>
    </row>
    <row r="495" spans="5:5">
      <c r="E495" s="50"/>
    </row>
    <row r="496" spans="5:5">
      <c r="E496" s="50"/>
    </row>
    <row r="497" spans="5:5">
      <c r="E497" s="50"/>
    </row>
    <row r="498" spans="5:5">
      <c r="E498" s="50"/>
    </row>
    <row r="499" spans="5:5">
      <c r="E499" s="50"/>
    </row>
    <row r="500" spans="5:5">
      <c r="E500" s="50"/>
    </row>
    <row r="501" spans="5:5">
      <c r="E501" s="50"/>
    </row>
    <row r="502" spans="5:5">
      <c r="E502" s="50"/>
    </row>
    <row r="503" spans="5:5">
      <c r="E503" s="50"/>
    </row>
    <row r="504" spans="5:5">
      <c r="E504" s="50"/>
    </row>
    <row r="505" spans="5:5">
      <c r="E505" s="50"/>
    </row>
    <row r="506" spans="5:5">
      <c r="E506" s="50"/>
    </row>
    <row r="507" spans="5:5">
      <c r="E507" s="50"/>
    </row>
    <row r="508" spans="5:5">
      <c r="E508" s="50"/>
    </row>
    <row r="509" spans="5:5">
      <c r="E509" s="50"/>
    </row>
    <row r="510" spans="5:5">
      <c r="E510" s="50"/>
    </row>
    <row r="511" spans="5:5">
      <c r="E511" s="50"/>
    </row>
    <row r="512" spans="5:5">
      <c r="E512" s="50"/>
    </row>
    <row r="513" spans="5:5">
      <c r="E513" s="50"/>
    </row>
    <row r="514" spans="5:5">
      <c r="E514" s="50"/>
    </row>
    <row r="515" spans="5:5">
      <c r="E515" s="50"/>
    </row>
    <row r="516" spans="5:5">
      <c r="E516" s="50"/>
    </row>
    <row r="517" spans="5:5">
      <c r="E517" s="50"/>
    </row>
    <row r="518" spans="5:5">
      <c r="E518" s="50"/>
    </row>
    <row r="519" spans="5:5">
      <c r="E519" s="50"/>
    </row>
    <row r="520" spans="5:5">
      <c r="E520" s="50"/>
    </row>
    <row r="521" spans="5:5">
      <c r="E521" s="50"/>
    </row>
    <row r="522" spans="5:5">
      <c r="E522" s="50"/>
    </row>
    <row r="523" spans="5:5">
      <c r="E523" s="50"/>
    </row>
    <row r="524" spans="5:5">
      <c r="E524" s="50"/>
    </row>
    <row r="525" spans="5:5">
      <c r="E525" s="50"/>
    </row>
    <row r="526" spans="5:5">
      <c r="E526" s="50"/>
    </row>
    <row r="527" spans="5:5">
      <c r="E527" s="50"/>
    </row>
    <row r="528" spans="5:5">
      <c r="E528" s="50"/>
    </row>
    <row r="529" spans="5:5">
      <c r="E529" s="50"/>
    </row>
    <row r="530" spans="5:5">
      <c r="E530" s="50"/>
    </row>
    <row r="531" spans="5:5">
      <c r="E531" s="50"/>
    </row>
    <row r="532" spans="5:5">
      <c r="E532" s="50"/>
    </row>
    <row r="533" spans="5:5">
      <c r="E533" s="50"/>
    </row>
    <row r="534" spans="5:5">
      <c r="E534" s="50"/>
    </row>
    <row r="535" spans="5:5">
      <c r="E535" s="50"/>
    </row>
    <row r="536" spans="5:5">
      <c r="E536" s="50"/>
    </row>
    <row r="537" spans="5:5">
      <c r="E537" s="50"/>
    </row>
    <row r="538" spans="5:5">
      <c r="E538" s="50"/>
    </row>
    <row r="539" spans="5:5">
      <c r="E539" s="50"/>
    </row>
    <row r="540" spans="5:5">
      <c r="E540" s="50"/>
    </row>
    <row r="541" spans="5:5">
      <c r="E541" s="50"/>
    </row>
    <row r="542" spans="5:5">
      <c r="E542" s="50"/>
    </row>
    <row r="543" spans="5:5">
      <c r="E543" s="50"/>
    </row>
    <row r="544" spans="5:5">
      <c r="E544" s="50"/>
    </row>
    <row r="545" spans="5:5">
      <c r="E545" s="50"/>
    </row>
    <row r="546" spans="5:5">
      <c r="E546" s="50"/>
    </row>
    <row r="547" spans="5:5">
      <c r="E547" s="50"/>
    </row>
    <row r="548" spans="5:5">
      <c r="E548" s="50"/>
    </row>
    <row r="549" spans="5:5">
      <c r="E549" s="50"/>
    </row>
    <row r="550" spans="5:5">
      <c r="E550" s="50"/>
    </row>
    <row r="551" spans="5:5">
      <c r="E551" s="50"/>
    </row>
    <row r="552" spans="5:5">
      <c r="E552" s="50"/>
    </row>
    <row r="553" spans="5:5">
      <c r="E553" s="50"/>
    </row>
    <row r="554" spans="5:5">
      <c r="E554" s="50"/>
    </row>
    <row r="555" spans="5:5">
      <c r="E555" s="50"/>
    </row>
    <row r="556" spans="5:5">
      <c r="E556" s="50"/>
    </row>
    <row r="557" spans="5:5">
      <c r="E557" s="50"/>
    </row>
    <row r="558" spans="5:5">
      <c r="E558" s="50"/>
    </row>
    <row r="559" spans="5:5">
      <c r="E559" s="50"/>
    </row>
    <row r="560" spans="5:5">
      <c r="E560" s="50"/>
    </row>
    <row r="561" spans="5:5">
      <c r="E561" s="50"/>
    </row>
    <row r="562" spans="5:5">
      <c r="E562" s="50"/>
    </row>
    <row r="563" spans="5:5">
      <c r="E563" s="50"/>
    </row>
    <row r="564" spans="5:5">
      <c r="E564" s="50"/>
    </row>
    <row r="565" spans="5:5">
      <c r="E565" s="50"/>
    </row>
    <row r="566" spans="5:5">
      <c r="E566" s="50"/>
    </row>
    <row r="567" spans="5:5">
      <c r="E567" s="50"/>
    </row>
    <row r="568" spans="5:5">
      <c r="E568" s="50"/>
    </row>
    <row r="569" spans="5:5">
      <c r="E569" s="50"/>
    </row>
    <row r="570" spans="5:5">
      <c r="E570" s="50"/>
    </row>
    <row r="571" spans="5:5">
      <c r="E571" s="50"/>
    </row>
    <row r="572" spans="5:5">
      <c r="E572" s="50"/>
    </row>
    <row r="573" spans="5:5">
      <c r="E573" s="50"/>
    </row>
    <row r="574" spans="5:5">
      <c r="E574" s="50"/>
    </row>
    <row r="575" spans="5:5">
      <c r="E575" s="50"/>
    </row>
    <row r="576" spans="5:5">
      <c r="E576" s="50"/>
    </row>
    <row r="577" spans="5:5">
      <c r="E577" s="50"/>
    </row>
    <row r="578" spans="5:5">
      <c r="E578" s="50"/>
    </row>
    <row r="579" spans="5:5">
      <c r="E579" s="50"/>
    </row>
    <row r="580" spans="5:5">
      <c r="E580" s="50"/>
    </row>
    <row r="581" spans="5:5">
      <c r="E581" s="50"/>
    </row>
    <row r="582" spans="5:5">
      <c r="E582" s="50"/>
    </row>
    <row r="583" spans="5:5">
      <c r="E583" s="50"/>
    </row>
    <row r="584" spans="5:5">
      <c r="E584" s="50"/>
    </row>
    <row r="585" spans="5:5">
      <c r="E585" s="50"/>
    </row>
    <row r="586" spans="5:5">
      <c r="E586" s="50"/>
    </row>
    <row r="587" spans="5:5">
      <c r="E587" s="50"/>
    </row>
    <row r="588" spans="5:5">
      <c r="E588" s="50"/>
    </row>
    <row r="589" spans="5:5">
      <c r="E589" s="50"/>
    </row>
    <row r="590" spans="5:5">
      <c r="E590" s="50"/>
    </row>
    <row r="591" spans="5:5">
      <c r="E591" s="50"/>
    </row>
    <row r="592" spans="5:5">
      <c r="E592" s="50"/>
    </row>
    <row r="593" spans="5:5">
      <c r="E593" s="50"/>
    </row>
    <row r="594" spans="5:5">
      <c r="E594" s="50"/>
    </row>
    <row r="595" spans="5:5">
      <c r="E595" s="50"/>
    </row>
    <row r="596" spans="5:5">
      <c r="E596" s="50"/>
    </row>
    <row r="597" spans="5:5">
      <c r="E597" s="50"/>
    </row>
    <row r="598" spans="5:5">
      <c r="E598" s="50"/>
    </row>
    <row r="599" spans="5:5">
      <c r="E599" s="50"/>
    </row>
    <row r="600" spans="5:5">
      <c r="E600" s="50"/>
    </row>
    <row r="601" spans="5:5">
      <c r="E601" s="50"/>
    </row>
    <row r="602" spans="5:5">
      <c r="E602" s="50"/>
    </row>
    <row r="603" spans="5:5">
      <c r="E603" s="50"/>
    </row>
    <row r="604" spans="5:5">
      <c r="E604" s="50"/>
    </row>
    <row r="605" spans="5:5">
      <c r="E605" s="50"/>
    </row>
    <row r="606" spans="5:5">
      <c r="E606" s="50"/>
    </row>
    <row r="607" spans="5:5">
      <c r="E607" s="50"/>
    </row>
    <row r="608" spans="5:5">
      <c r="E608" s="50"/>
    </row>
    <row r="609" spans="5:5">
      <c r="E609" s="50"/>
    </row>
    <row r="610" spans="5:5">
      <c r="E610" s="50"/>
    </row>
    <row r="611" spans="5:5">
      <c r="E611" s="50"/>
    </row>
    <row r="612" spans="5:5">
      <c r="E612" s="50"/>
    </row>
    <row r="613" spans="5:5">
      <c r="E613" s="50"/>
    </row>
    <row r="614" spans="5:5">
      <c r="E614" s="50"/>
    </row>
    <row r="615" spans="5:5">
      <c r="E615" s="50"/>
    </row>
    <row r="616" spans="5:5">
      <c r="E616" s="50"/>
    </row>
    <row r="617" spans="5:5">
      <c r="E617" s="50"/>
    </row>
    <row r="618" spans="5:5">
      <c r="E618" s="50"/>
    </row>
    <row r="619" spans="5:5">
      <c r="E619" s="50"/>
    </row>
    <row r="620" spans="5:5">
      <c r="E620" s="50"/>
    </row>
    <row r="621" spans="5:5">
      <c r="E621" s="50"/>
    </row>
    <row r="622" spans="5:5">
      <c r="E622" s="50"/>
    </row>
    <row r="623" spans="5:5">
      <c r="E623" s="50"/>
    </row>
    <row r="624" spans="5:5">
      <c r="E624" s="50"/>
    </row>
    <row r="625" spans="5:5">
      <c r="E625" s="50"/>
    </row>
    <row r="626" spans="5:5">
      <c r="E626" s="50"/>
    </row>
    <row r="627" spans="5:5">
      <c r="E627" s="50"/>
    </row>
    <row r="628" spans="5:5">
      <c r="E628" s="50"/>
    </row>
    <row r="629" spans="5:5">
      <c r="E629" s="50"/>
    </row>
    <row r="630" spans="5:5">
      <c r="E630" s="50"/>
    </row>
    <row r="631" spans="5:5">
      <c r="E631" s="50"/>
    </row>
    <row r="632" spans="5:5">
      <c r="E632" s="50"/>
    </row>
    <row r="633" spans="5:5">
      <c r="E633" s="50"/>
    </row>
    <row r="634" spans="5:5">
      <c r="E634" s="50"/>
    </row>
    <row r="635" spans="5:5">
      <c r="E635" s="50"/>
    </row>
    <row r="636" spans="5:5">
      <c r="E636" s="50"/>
    </row>
    <row r="637" spans="5:5">
      <c r="E637" s="50"/>
    </row>
    <row r="638" spans="5:5">
      <c r="E638" s="50"/>
    </row>
    <row r="639" spans="5:5">
      <c r="E639" s="50"/>
    </row>
    <row r="640" spans="5:5">
      <c r="E640" s="50"/>
    </row>
    <row r="641" spans="5:5">
      <c r="E641" s="50"/>
    </row>
    <row r="642" spans="5:5">
      <c r="E642" s="50"/>
    </row>
    <row r="643" spans="5:5">
      <c r="E643" s="50"/>
    </row>
    <row r="644" spans="5:5">
      <c r="E644" s="50"/>
    </row>
    <row r="645" spans="5:5">
      <c r="E645" s="50"/>
    </row>
    <row r="646" spans="5:5">
      <c r="E646" s="50"/>
    </row>
    <row r="647" spans="5:5">
      <c r="E647" s="50"/>
    </row>
    <row r="648" spans="5:5">
      <c r="E648" s="50"/>
    </row>
    <row r="649" spans="5:5">
      <c r="E649" s="50"/>
    </row>
    <row r="650" spans="5:5">
      <c r="E650" s="50"/>
    </row>
    <row r="651" spans="5:5">
      <c r="E651" s="50"/>
    </row>
    <row r="652" spans="5:5">
      <c r="E652" s="50"/>
    </row>
    <row r="653" spans="5:5">
      <c r="E653" s="50"/>
    </row>
    <row r="654" spans="5:5">
      <c r="E654" s="50"/>
    </row>
    <row r="655" spans="5:5">
      <c r="E655" s="50"/>
    </row>
    <row r="656" spans="5:5">
      <c r="E656" s="50"/>
    </row>
    <row r="657" spans="5:5">
      <c r="E657" s="50"/>
    </row>
    <row r="658" spans="5:5">
      <c r="E658" s="50"/>
    </row>
    <row r="659" spans="5:5">
      <c r="E659" s="50"/>
    </row>
    <row r="660" spans="5:5">
      <c r="E660" s="50"/>
    </row>
    <row r="661" spans="5:5">
      <c r="E661" s="50"/>
    </row>
    <row r="662" spans="5:5">
      <c r="E662" s="50"/>
    </row>
    <row r="663" spans="5:5">
      <c r="E663" s="50"/>
    </row>
    <row r="664" spans="5:5">
      <c r="E664" s="50"/>
    </row>
    <row r="665" spans="5:5">
      <c r="E665" s="50"/>
    </row>
    <row r="666" spans="5:5">
      <c r="E666" s="50"/>
    </row>
    <row r="667" spans="5:5">
      <c r="E667" s="50"/>
    </row>
    <row r="668" spans="5:5">
      <c r="E668" s="50"/>
    </row>
    <row r="669" spans="5:5">
      <c r="E669" s="50"/>
    </row>
    <row r="670" spans="5:5">
      <c r="E670" s="50"/>
    </row>
    <row r="671" spans="5:5">
      <c r="E671" s="50"/>
    </row>
    <row r="672" spans="5:5">
      <c r="E672" s="50"/>
    </row>
    <row r="673" spans="5:5">
      <c r="E673" s="50"/>
    </row>
    <row r="674" spans="5:5">
      <c r="E674" s="50"/>
    </row>
    <row r="675" spans="5:5">
      <c r="E675" s="50"/>
    </row>
    <row r="676" spans="5:5">
      <c r="E676" s="50"/>
    </row>
    <row r="677" spans="5:5">
      <c r="E677" s="50"/>
    </row>
    <row r="678" spans="5:5">
      <c r="E678" s="50"/>
    </row>
    <row r="679" spans="5:5">
      <c r="E679" s="50"/>
    </row>
    <row r="680" spans="5:5">
      <c r="E680" s="50"/>
    </row>
    <row r="681" spans="5:5">
      <c r="E681" s="50"/>
    </row>
    <row r="682" spans="5:5">
      <c r="E682" s="50"/>
    </row>
    <row r="683" spans="5:5">
      <c r="E683" s="50"/>
    </row>
    <row r="684" spans="5:5">
      <c r="E684" s="50"/>
    </row>
    <row r="685" spans="5:5">
      <c r="E685" s="50"/>
    </row>
    <row r="686" spans="5:5">
      <c r="E686" s="50"/>
    </row>
    <row r="687" spans="5:5">
      <c r="E687" s="50"/>
    </row>
    <row r="688" spans="5:5">
      <c r="E688" s="50"/>
    </row>
    <row r="689" spans="5:5">
      <c r="E689" s="50"/>
    </row>
    <row r="690" spans="5:5">
      <c r="E690" s="50"/>
    </row>
    <row r="691" spans="5:5">
      <c r="E691" s="50"/>
    </row>
    <row r="692" spans="5:5">
      <c r="E692" s="50"/>
    </row>
    <row r="693" spans="5:5">
      <c r="E693" s="50"/>
    </row>
    <row r="694" spans="5:5">
      <c r="E694" s="50"/>
    </row>
    <row r="695" spans="5:5">
      <c r="E695" s="50"/>
    </row>
    <row r="696" spans="5:5">
      <c r="E696" s="50"/>
    </row>
    <row r="697" spans="5:5">
      <c r="E697" s="50"/>
    </row>
    <row r="698" spans="5:5">
      <c r="E698" s="50"/>
    </row>
    <row r="699" spans="5:5">
      <c r="E699" s="50"/>
    </row>
    <row r="700" spans="5:5">
      <c r="E700" s="50"/>
    </row>
    <row r="701" spans="5:5">
      <c r="E701" s="50"/>
    </row>
    <row r="702" spans="5:5">
      <c r="E702" s="50"/>
    </row>
    <row r="703" spans="5:5">
      <c r="E703" s="50"/>
    </row>
    <row r="704" spans="5:5">
      <c r="E704" s="50"/>
    </row>
    <row r="705" spans="5:5">
      <c r="E705" s="50"/>
    </row>
    <row r="706" spans="5:5">
      <c r="E706" s="50"/>
    </row>
    <row r="707" spans="5:5">
      <c r="E707" s="50"/>
    </row>
    <row r="708" spans="5:5">
      <c r="E708" s="50"/>
    </row>
    <row r="709" spans="5:5">
      <c r="E709" s="50"/>
    </row>
    <row r="710" spans="5:5">
      <c r="E710" s="50"/>
    </row>
    <row r="711" spans="5:5">
      <c r="E711" s="50"/>
    </row>
    <row r="712" spans="5:5">
      <c r="E712" s="50"/>
    </row>
    <row r="713" spans="5:5">
      <c r="E713" s="50"/>
    </row>
    <row r="714" spans="5:5">
      <c r="E714" s="50"/>
    </row>
    <row r="715" spans="5:5">
      <c r="E715" s="50"/>
    </row>
    <row r="716" spans="5:5">
      <c r="E716" s="50"/>
    </row>
    <row r="717" spans="5:5">
      <c r="E717" s="50"/>
    </row>
    <row r="718" spans="5:5">
      <c r="E718" s="50"/>
    </row>
    <row r="719" spans="5:5">
      <c r="E719" s="50"/>
    </row>
    <row r="720" spans="5:5">
      <c r="E720" s="50"/>
    </row>
    <row r="721" spans="5:5">
      <c r="E721" s="50"/>
    </row>
    <row r="722" spans="5:5">
      <c r="E722" s="50"/>
    </row>
    <row r="723" spans="5:5">
      <c r="E723" s="50"/>
    </row>
    <row r="724" spans="5:5">
      <c r="E724" s="50"/>
    </row>
    <row r="725" spans="5:5">
      <c r="E725" s="50"/>
    </row>
    <row r="726" spans="5:5">
      <c r="E726" s="50"/>
    </row>
    <row r="727" spans="5:5">
      <c r="E727" s="50"/>
    </row>
    <row r="728" spans="5:5">
      <c r="E728" s="50"/>
    </row>
    <row r="729" spans="5:5">
      <c r="E729" s="50"/>
    </row>
    <row r="730" spans="5:5">
      <c r="E730" s="50"/>
    </row>
    <row r="731" spans="5:5">
      <c r="E731" s="50"/>
    </row>
    <row r="732" spans="5:5">
      <c r="E732" s="50"/>
    </row>
    <row r="733" spans="5:5">
      <c r="E733" s="50"/>
    </row>
    <row r="734" spans="5:5">
      <c r="E734" s="50"/>
    </row>
    <row r="735" spans="5:5">
      <c r="E735" s="50"/>
    </row>
    <row r="736" spans="5:5">
      <c r="E736" s="50"/>
    </row>
    <row r="737" spans="5:5">
      <c r="E737" s="50"/>
    </row>
    <row r="738" spans="5:5">
      <c r="E738" s="50"/>
    </row>
    <row r="739" spans="5:5">
      <c r="E739" s="50"/>
    </row>
    <row r="740" spans="5:5">
      <c r="E740" s="50"/>
    </row>
    <row r="741" spans="5:5">
      <c r="E741" s="50"/>
    </row>
    <row r="742" spans="5:5">
      <c r="E742" s="50"/>
    </row>
    <row r="743" spans="5:5">
      <c r="E743" s="50"/>
    </row>
    <row r="744" spans="5:5">
      <c r="E744" s="50"/>
    </row>
    <row r="745" spans="5:5">
      <c r="E745" s="50"/>
    </row>
    <row r="746" spans="5:5">
      <c r="E746" s="50"/>
    </row>
    <row r="747" spans="5:5">
      <c r="E747" s="50"/>
    </row>
    <row r="748" spans="5:5">
      <c r="E748" s="50"/>
    </row>
    <row r="749" spans="5:5">
      <c r="E749" s="50"/>
    </row>
    <row r="750" spans="5:5">
      <c r="E750" s="50"/>
    </row>
    <row r="751" spans="5:5">
      <c r="E751" s="50"/>
    </row>
    <row r="752" spans="5:5">
      <c r="E752" s="50"/>
    </row>
    <row r="753" spans="5:5">
      <c r="E753" s="50"/>
    </row>
    <row r="754" spans="5:5">
      <c r="E754" s="50"/>
    </row>
    <row r="755" spans="5:5">
      <c r="E755" s="50"/>
    </row>
    <row r="756" spans="5:5">
      <c r="E756" s="50"/>
    </row>
    <row r="757" spans="5:5">
      <c r="E757" s="50"/>
    </row>
    <row r="758" spans="5:5">
      <c r="E758" s="50"/>
    </row>
    <row r="759" spans="5:5">
      <c r="E759" s="50"/>
    </row>
    <row r="760" spans="5:5">
      <c r="E760" s="50"/>
    </row>
    <row r="761" spans="5:5">
      <c r="E761" s="50"/>
    </row>
    <row r="762" spans="5:5">
      <c r="E762" s="50"/>
    </row>
    <row r="763" spans="5:5">
      <c r="E763" s="50"/>
    </row>
    <row r="764" spans="5:5">
      <c r="E764" s="50"/>
    </row>
    <row r="765" spans="5:5">
      <c r="E765" s="50"/>
    </row>
    <row r="766" spans="5:5">
      <c r="E766" s="50"/>
    </row>
    <row r="767" spans="5:5">
      <c r="E767" s="50"/>
    </row>
    <row r="768" spans="5:5">
      <c r="E768" s="50"/>
    </row>
    <row r="769" spans="5:5">
      <c r="E769" s="50"/>
    </row>
    <row r="770" spans="5:5">
      <c r="E770" s="50"/>
    </row>
    <row r="771" spans="5:5">
      <c r="E771" s="50"/>
    </row>
    <row r="772" spans="5:5">
      <c r="E772" s="50"/>
    </row>
    <row r="773" spans="5:5">
      <c r="E773" s="50"/>
    </row>
    <row r="774" spans="5:5">
      <c r="E774" s="50"/>
    </row>
    <row r="775" spans="5:5">
      <c r="E775" s="50"/>
    </row>
    <row r="776" spans="5:5">
      <c r="E776" s="50"/>
    </row>
    <row r="777" spans="5:5">
      <c r="E777" s="50"/>
    </row>
    <row r="778" spans="5:5">
      <c r="E778" s="50"/>
    </row>
    <row r="779" spans="5:5">
      <c r="E779" s="50"/>
    </row>
    <row r="780" spans="5:5">
      <c r="E780" s="50"/>
    </row>
    <row r="781" spans="5:5">
      <c r="E781" s="50"/>
    </row>
    <row r="782" spans="5:5">
      <c r="E782" s="50"/>
    </row>
    <row r="783" spans="5:5">
      <c r="E783" s="50"/>
    </row>
    <row r="784" spans="5:5">
      <c r="E784" s="50"/>
    </row>
    <row r="785" spans="5:5">
      <c r="E785" s="50"/>
    </row>
    <row r="786" spans="5:5">
      <c r="E786" s="50"/>
    </row>
    <row r="787" spans="5:5">
      <c r="E787" s="50"/>
    </row>
    <row r="788" spans="5:5">
      <c r="E788" s="50"/>
    </row>
    <row r="789" spans="5:5">
      <c r="E789" s="50"/>
    </row>
    <row r="790" spans="5:5">
      <c r="E790" s="50"/>
    </row>
    <row r="791" spans="5:5">
      <c r="E791" s="50"/>
    </row>
    <row r="792" spans="5:5">
      <c r="E792" s="50"/>
    </row>
    <row r="793" spans="5:5">
      <c r="E793" s="50"/>
    </row>
    <row r="794" spans="5:5">
      <c r="E794" s="50"/>
    </row>
    <row r="795" spans="5:5">
      <c r="E795" s="50"/>
    </row>
    <row r="796" spans="5:5">
      <c r="E796" s="50"/>
    </row>
    <row r="797" spans="5:5">
      <c r="E797" s="50"/>
    </row>
    <row r="798" spans="5:5">
      <c r="E798" s="50"/>
    </row>
    <row r="799" spans="5:5">
      <c r="E799" s="50"/>
    </row>
    <row r="800" spans="5:5">
      <c r="E800" s="50"/>
    </row>
    <row r="801" spans="5:5">
      <c r="E801" s="50"/>
    </row>
    <row r="802" spans="5:5">
      <c r="E802" s="50"/>
    </row>
    <row r="803" spans="5:5">
      <c r="E803" s="50"/>
    </row>
    <row r="804" spans="5:5">
      <c r="E804" s="50"/>
    </row>
    <row r="805" spans="5:5">
      <c r="E805" s="50"/>
    </row>
    <row r="806" spans="5:5">
      <c r="E806" s="50"/>
    </row>
    <row r="807" spans="5:5">
      <c r="E807" s="50"/>
    </row>
    <row r="808" spans="5:5">
      <c r="E808" s="50"/>
    </row>
    <row r="809" spans="5:5">
      <c r="E809" s="50"/>
    </row>
    <row r="810" spans="5:5">
      <c r="E810" s="50"/>
    </row>
    <row r="811" spans="5:5">
      <c r="E811" s="50"/>
    </row>
    <row r="812" spans="5:5">
      <c r="E812" s="50"/>
    </row>
    <row r="813" spans="5:5">
      <c r="E813" s="50"/>
    </row>
    <row r="814" spans="5:5">
      <c r="E814" s="50"/>
    </row>
    <row r="815" spans="5:5">
      <c r="E815" s="50"/>
    </row>
    <row r="816" spans="5:5">
      <c r="E816" s="50"/>
    </row>
    <row r="817" spans="5:5">
      <c r="E817" s="50"/>
    </row>
    <row r="818" spans="5:5">
      <c r="E818" s="50"/>
    </row>
    <row r="819" spans="5:5">
      <c r="E819" s="50"/>
    </row>
    <row r="820" spans="5:5">
      <c r="E820" s="50"/>
    </row>
    <row r="821" spans="5:5">
      <c r="E821" s="50"/>
    </row>
    <row r="822" spans="5:5">
      <c r="E822" s="50"/>
    </row>
    <row r="823" spans="5:5">
      <c r="E823" s="50"/>
    </row>
    <row r="824" spans="5:5">
      <c r="E824" s="50"/>
    </row>
    <row r="825" spans="5:5">
      <c r="E825" s="50"/>
    </row>
    <row r="826" spans="5:5">
      <c r="E826" s="50"/>
    </row>
    <row r="827" spans="5:5">
      <c r="E827" s="50"/>
    </row>
    <row r="828" spans="5:5">
      <c r="E828" s="50"/>
    </row>
    <row r="829" spans="5:5">
      <c r="E829" s="50"/>
    </row>
    <row r="830" spans="5:5">
      <c r="E830" s="50"/>
    </row>
    <row r="831" spans="5:5">
      <c r="E831" s="50"/>
    </row>
    <row r="832" spans="5:5">
      <c r="E832" s="50"/>
    </row>
    <row r="833" spans="5:5">
      <c r="E833" s="50"/>
    </row>
    <row r="834" spans="5:5">
      <c r="E834" s="50"/>
    </row>
    <row r="835" spans="5:5">
      <c r="E835" s="50"/>
    </row>
    <row r="836" spans="5:5">
      <c r="E836" s="50"/>
    </row>
    <row r="837" spans="5:5">
      <c r="E837" s="50"/>
    </row>
    <row r="838" spans="5:5">
      <c r="E838" s="50"/>
    </row>
    <row r="839" spans="5:5">
      <c r="E839" s="50"/>
    </row>
    <row r="840" spans="5:5">
      <c r="E840" s="50"/>
    </row>
    <row r="841" spans="5:5">
      <c r="E841" s="50"/>
    </row>
    <row r="842" spans="5:5">
      <c r="E842" s="50"/>
    </row>
    <row r="843" spans="5:5">
      <c r="E843" s="50"/>
    </row>
    <row r="844" spans="5:5">
      <c r="E844" s="50"/>
    </row>
    <row r="845" spans="5:5">
      <c r="E845" s="50"/>
    </row>
    <row r="846" spans="5:5">
      <c r="E846" s="50"/>
    </row>
    <row r="847" spans="5:5">
      <c r="E847" s="50"/>
    </row>
    <row r="848" spans="5:5">
      <c r="E848" s="50"/>
    </row>
    <row r="849" spans="5:5">
      <c r="E849" s="50"/>
    </row>
    <row r="850" spans="5:5">
      <c r="E850" s="50"/>
    </row>
    <row r="851" spans="5:5">
      <c r="E851" s="50"/>
    </row>
    <row r="852" spans="5:5">
      <c r="E852" s="50"/>
    </row>
    <row r="853" spans="5:5">
      <c r="E853" s="50"/>
    </row>
    <row r="854" spans="5:5">
      <c r="E854" s="50"/>
    </row>
    <row r="855" spans="5:5">
      <c r="E855" s="50"/>
    </row>
    <row r="856" spans="5:5">
      <c r="E856" s="50"/>
    </row>
    <row r="857" spans="5:5">
      <c r="E857" s="50"/>
    </row>
    <row r="858" spans="5:5">
      <c r="E858" s="50"/>
    </row>
    <row r="859" spans="5:5">
      <c r="E859" s="50"/>
    </row>
    <row r="860" spans="5:5">
      <c r="E860" s="50"/>
    </row>
    <row r="861" spans="5:5">
      <c r="E861" s="50"/>
    </row>
    <row r="862" spans="5:5">
      <c r="E862" s="50"/>
    </row>
    <row r="863" spans="5:5">
      <c r="E863" s="50"/>
    </row>
    <row r="864" spans="5:5">
      <c r="E864" s="50"/>
    </row>
    <row r="865" spans="5:5">
      <c r="E865" s="50"/>
    </row>
    <row r="866" spans="5:5">
      <c r="E866" s="50"/>
    </row>
    <row r="867" spans="5:5">
      <c r="E867" s="50"/>
    </row>
    <row r="868" spans="5:5">
      <c r="E868" s="50"/>
    </row>
    <row r="869" spans="5:5">
      <c r="E869" s="50"/>
    </row>
    <row r="870" spans="5:5">
      <c r="E870" s="50"/>
    </row>
    <row r="871" spans="5:5">
      <c r="E871" s="50"/>
    </row>
    <row r="872" spans="5:5">
      <c r="E872" s="50"/>
    </row>
    <row r="873" spans="5:5">
      <c r="E873" s="50"/>
    </row>
    <row r="874" spans="5:5">
      <c r="E874" s="50"/>
    </row>
    <row r="875" spans="5:5">
      <c r="E875" s="50"/>
    </row>
    <row r="876" spans="5:5">
      <c r="E876" s="50"/>
    </row>
    <row r="877" spans="5:5">
      <c r="E877" s="50"/>
    </row>
    <row r="878" spans="5:5">
      <c r="E878" s="50"/>
    </row>
    <row r="879" spans="5:5">
      <c r="E879" s="50"/>
    </row>
    <row r="880" spans="5:5">
      <c r="E880" s="50"/>
    </row>
    <row r="881" spans="5:5">
      <c r="E881" s="50"/>
    </row>
    <row r="882" spans="5:5">
      <c r="E882" s="50"/>
    </row>
    <row r="883" spans="5:5">
      <c r="E883" s="50"/>
    </row>
    <row r="884" spans="5:5">
      <c r="E884" s="50"/>
    </row>
    <row r="885" spans="5:5">
      <c r="E885" s="50"/>
    </row>
    <row r="886" spans="5:5">
      <c r="E886" s="50"/>
    </row>
    <row r="887" spans="5:5">
      <c r="E887" s="50"/>
    </row>
    <row r="888" spans="5:5">
      <c r="E888" s="50"/>
    </row>
    <row r="889" spans="5:5">
      <c r="E889" s="50"/>
    </row>
    <row r="890" spans="5:5">
      <c r="E890" s="50"/>
    </row>
    <row r="891" spans="5:5">
      <c r="E891" s="50"/>
    </row>
    <row r="892" spans="5:5">
      <c r="E892" s="50"/>
    </row>
    <row r="893" spans="5:5">
      <c r="E893" s="50"/>
    </row>
    <row r="894" spans="5:5">
      <c r="E894" s="50"/>
    </row>
    <row r="895" spans="5:5">
      <c r="E895" s="50"/>
    </row>
    <row r="896" spans="5:5">
      <c r="E896" s="50"/>
    </row>
    <row r="897" spans="5:5">
      <c r="E897" s="50"/>
    </row>
    <row r="898" spans="5:5">
      <c r="E898" s="50"/>
    </row>
    <row r="899" spans="5:5">
      <c r="E899" s="50"/>
    </row>
    <row r="900" spans="5:5">
      <c r="E900" s="50"/>
    </row>
    <row r="901" spans="5:5">
      <c r="E901" s="50"/>
    </row>
    <row r="902" spans="5:5">
      <c r="E902" s="50"/>
    </row>
    <row r="903" spans="5:5">
      <c r="E903" s="50"/>
    </row>
    <row r="904" spans="5:5">
      <c r="E904" s="50"/>
    </row>
    <row r="905" spans="5:5">
      <c r="E905" s="50"/>
    </row>
    <row r="906" spans="5:5">
      <c r="E906" s="50"/>
    </row>
    <row r="907" spans="5:5">
      <c r="E907" s="50"/>
    </row>
    <row r="908" spans="5:5">
      <c r="E908" s="50"/>
    </row>
    <row r="909" spans="5:5">
      <c r="E909" s="50"/>
    </row>
    <row r="910" spans="5:5">
      <c r="E910" s="50"/>
    </row>
    <row r="911" spans="5:5">
      <c r="E911" s="50"/>
    </row>
    <row r="912" spans="5:5">
      <c r="E912" s="50"/>
    </row>
    <row r="913" spans="5:5">
      <c r="E913" s="50"/>
    </row>
    <row r="914" spans="5:5">
      <c r="E914" s="50"/>
    </row>
    <row r="915" spans="5:5">
      <c r="E915" s="50"/>
    </row>
    <row r="916" spans="5:5">
      <c r="E916" s="50"/>
    </row>
    <row r="917" spans="5:5">
      <c r="E917" s="50"/>
    </row>
    <row r="918" spans="5:5">
      <c r="E918" s="50"/>
    </row>
    <row r="919" spans="5:5">
      <c r="E919" s="50"/>
    </row>
    <row r="920" spans="5:5">
      <c r="E920" s="50"/>
    </row>
    <row r="921" spans="5:5">
      <c r="E921" s="50"/>
    </row>
    <row r="922" spans="5:5">
      <c r="E922" s="50"/>
    </row>
    <row r="923" spans="5:5">
      <c r="E923" s="50"/>
    </row>
  </sheetData>
  <mergeCells count="1">
    <mergeCell ref="A1:R1"/>
  </mergeCells>
  <dataValidations count="2">
    <dataValidation allowBlank="1" sqref="A1:C1 J5:K1048576 S3:XFD4 F6:I1048576 L6:Q1048576 L3:P4 S6:XFD1048576 B2:C2 D1:XFD2 D6:D1048576 B5:XFD5 R5:R1048576 F3:I4" xr:uid="{3E35FD98-5103-E048-AFDC-AE1DF54F7E72}"/>
    <dataValidation allowBlank="1" prompt="Select an OCI Region." sqref="A2 A5" xr:uid="{9BA466B3-0978-E04D-8A8A-98064B94D465}"/>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7A92D-7601-0A43-A0AF-C01C8D26C66F}">
  <sheetPr>
    <tabColor theme="8" tint="0.59999389629810485"/>
  </sheetPr>
  <dimension ref="A1:Z998"/>
  <sheetViews>
    <sheetView zoomScale="102" zoomScaleNormal="78" workbookViewId="0">
      <selection activeCell="B3" sqref="B3"/>
    </sheetView>
  </sheetViews>
  <sheetFormatPr baseColWidth="10" defaultColWidth="8.83203125" defaultRowHeight="15"/>
  <cols>
    <col min="1" max="1" width="9.83203125" customWidth="1"/>
    <col min="2" max="2" width="22.83203125" bestFit="1" customWidth="1"/>
    <col min="3" max="3" width="22.83203125" customWidth="1"/>
    <col min="4" max="5" width="16.5" customWidth="1"/>
    <col min="6" max="6" width="29.1640625" style="1" customWidth="1"/>
    <col min="7" max="7" width="27.83203125" style="1" customWidth="1"/>
    <col min="8" max="8" width="23" bestFit="1" customWidth="1"/>
    <col min="9" max="9" width="13.83203125" bestFit="1" customWidth="1"/>
    <col min="10" max="10" width="9.1640625" bestFit="1" customWidth="1"/>
    <col min="11" max="11" width="13.33203125" bestFit="1" customWidth="1"/>
    <col min="12" max="12" width="20" bestFit="1" customWidth="1"/>
    <col min="13" max="13" width="13.6640625" bestFit="1" customWidth="1"/>
    <col min="14" max="14" width="18.33203125" bestFit="1" customWidth="1"/>
    <col min="15" max="15" width="18.83203125" bestFit="1" customWidth="1"/>
    <col min="16" max="16" width="14.83203125" bestFit="1" customWidth="1"/>
    <col min="17" max="17" width="13.83203125" bestFit="1" customWidth="1"/>
    <col min="18" max="18" width="15.1640625" bestFit="1" customWidth="1"/>
    <col min="19" max="19" width="18.1640625" bestFit="1" customWidth="1"/>
    <col min="20" max="20" width="23" bestFit="1" customWidth="1"/>
    <col min="21" max="21" width="13.5" bestFit="1" customWidth="1"/>
    <col min="22" max="22" width="11.83203125" bestFit="1" customWidth="1"/>
    <col min="23" max="23" width="13.1640625" bestFit="1" customWidth="1"/>
    <col min="24" max="24" width="23.1640625" bestFit="1" customWidth="1"/>
    <col min="25" max="25" width="23.1640625" customWidth="1"/>
    <col min="26" max="27" width="14.5" customWidth="1"/>
    <col min="28" max="28" width="15.1640625" bestFit="1" customWidth="1"/>
  </cols>
  <sheetData>
    <row r="1" spans="1:26" s="1" customFormat="1" ht="165" customHeight="1">
      <c r="A1" s="70" t="s">
        <v>562</v>
      </c>
      <c r="B1" s="68"/>
      <c r="C1" s="68"/>
      <c r="D1" s="68"/>
      <c r="E1" s="68"/>
      <c r="F1" s="68"/>
      <c r="G1" s="68"/>
      <c r="H1" s="68"/>
      <c r="I1" s="68"/>
      <c r="J1" s="68"/>
      <c r="K1" s="68"/>
      <c r="L1" s="68"/>
      <c r="M1" s="68"/>
      <c r="N1" s="68"/>
      <c r="O1" s="68"/>
      <c r="P1" s="68"/>
      <c r="Q1" s="68"/>
      <c r="R1" s="68"/>
      <c r="S1" s="68"/>
      <c r="T1" s="51"/>
      <c r="U1" s="51"/>
      <c r="V1" s="51"/>
      <c r="W1" s="51"/>
      <c r="X1" s="51"/>
      <c r="Y1" s="51"/>
      <c r="Z1" s="51"/>
    </row>
    <row r="2" spans="1:26" s="53" customFormat="1" ht="32">
      <c r="A2" s="47" t="s">
        <v>498</v>
      </c>
      <c r="B2" s="47" t="s">
        <v>500</v>
      </c>
      <c r="C2" s="47" t="s">
        <v>478</v>
      </c>
      <c r="D2" s="48" t="s">
        <v>493</v>
      </c>
      <c r="E2" s="48" t="s">
        <v>517</v>
      </c>
      <c r="F2" s="47" t="s">
        <v>513</v>
      </c>
      <c r="G2" s="47" t="s">
        <v>518</v>
      </c>
      <c r="H2" s="48" t="s">
        <v>506</v>
      </c>
      <c r="I2" s="47" t="s">
        <v>507</v>
      </c>
      <c r="J2" s="47" t="s">
        <v>495</v>
      </c>
      <c r="K2" s="47" t="s">
        <v>494</v>
      </c>
      <c r="L2" s="47" t="s">
        <v>509</v>
      </c>
      <c r="M2" s="47" t="s">
        <v>508</v>
      </c>
      <c r="N2" s="47" t="s">
        <v>510</v>
      </c>
      <c r="O2" s="47" t="s">
        <v>511</v>
      </c>
      <c r="P2" s="47" t="s">
        <v>512</v>
      </c>
      <c r="Q2" s="47" t="s">
        <v>496</v>
      </c>
      <c r="R2" s="47" t="s">
        <v>497</v>
      </c>
      <c r="S2" s="52" t="s">
        <v>501</v>
      </c>
      <c r="T2"/>
      <c r="U2"/>
      <c r="V2"/>
      <c r="W2"/>
      <c r="X2"/>
      <c r="Y2"/>
      <c r="Z2"/>
    </row>
    <row r="3" spans="1:26" ht="281">
      <c r="A3" s="24" t="s">
        <v>514</v>
      </c>
      <c r="B3" s="24" t="s">
        <v>535</v>
      </c>
      <c r="C3" s="24" t="s">
        <v>519</v>
      </c>
      <c r="D3" s="24" t="s">
        <v>522</v>
      </c>
      <c r="E3" s="24" t="s">
        <v>523</v>
      </c>
      <c r="F3" s="25" t="s">
        <v>532</v>
      </c>
      <c r="G3" s="25" t="s">
        <v>528</v>
      </c>
      <c r="H3" s="25" t="s">
        <v>97</v>
      </c>
      <c r="I3" s="25" t="s">
        <v>530</v>
      </c>
      <c r="J3" s="38" t="s">
        <v>516</v>
      </c>
      <c r="K3" s="38">
        <v>88</v>
      </c>
      <c r="L3" s="38">
        <v>200</v>
      </c>
      <c r="M3" s="38">
        <v>1300</v>
      </c>
      <c r="N3" s="38">
        <v>87</v>
      </c>
      <c r="O3" s="38" t="b">
        <v>0</v>
      </c>
      <c r="P3" s="54" t="b">
        <v>0</v>
      </c>
      <c r="Q3" s="60" t="s">
        <v>524</v>
      </c>
      <c r="R3" s="54" t="s">
        <v>525</v>
      </c>
      <c r="S3" s="25" t="s">
        <v>521</v>
      </c>
    </row>
    <row r="4" spans="1:26" ht="281">
      <c r="A4" s="24" t="s">
        <v>514</v>
      </c>
      <c r="B4" s="24" t="s">
        <v>535</v>
      </c>
      <c r="C4" s="24" t="s">
        <v>537</v>
      </c>
      <c r="D4" s="24" t="s">
        <v>526</v>
      </c>
      <c r="E4" s="24" t="s">
        <v>527</v>
      </c>
      <c r="F4" s="25" t="s">
        <v>533</v>
      </c>
      <c r="G4" s="25" t="s">
        <v>529</v>
      </c>
      <c r="H4" s="25" t="s">
        <v>97</v>
      </c>
      <c r="I4" s="25" t="s">
        <v>531</v>
      </c>
      <c r="J4" s="38" t="s">
        <v>516</v>
      </c>
      <c r="K4" s="38">
        <v>88</v>
      </c>
      <c r="L4" s="38">
        <v>200</v>
      </c>
      <c r="M4" s="38">
        <v>1300</v>
      </c>
      <c r="N4" s="38">
        <v>87</v>
      </c>
      <c r="O4" s="38" t="b">
        <v>0</v>
      </c>
      <c r="P4" s="54" t="b">
        <v>0</v>
      </c>
      <c r="Q4" s="60" t="s">
        <v>524</v>
      </c>
      <c r="R4" s="54" t="s">
        <v>525</v>
      </c>
      <c r="S4" s="25" t="s">
        <v>521</v>
      </c>
    </row>
    <row r="5" spans="1:26">
      <c r="F5"/>
    </row>
    <row r="389" spans="6:7">
      <c r="F389" s="10"/>
      <c r="G389" s="10"/>
    </row>
    <row r="390" spans="6:7">
      <c r="F390" s="17"/>
      <c r="G390" s="17"/>
    </row>
    <row r="391" spans="6:7">
      <c r="F391" s="17"/>
      <c r="G391" s="17"/>
    </row>
    <row r="392" spans="6:7">
      <c r="F392" s="17"/>
      <c r="G392" s="17"/>
    </row>
    <row r="393" spans="6:7">
      <c r="F393" s="17"/>
      <c r="G393" s="17"/>
    </row>
    <row r="394" spans="6:7">
      <c r="F394" s="17"/>
      <c r="G394" s="17"/>
    </row>
    <row r="395" spans="6:7">
      <c r="F395" s="17"/>
      <c r="G395" s="17"/>
    </row>
    <row r="396" spans="6:7">
      <c r="F396" s="17"/>
      <c r="G396" s="17"/>
    </row>
    <row r="397" spans="6:7">
      <c r="F397" s="17"/>
      <c r="G397" s="17"/>
    </row>
    <row r="398" spans="6:7">
      <c r="F398" s="17"/>
      <c r="G398" s="17"/>
    </row>
    <row r="399" spans="6:7">
      <c r="F399" s="17"/>
      <c r="G399" s="17"/>
    </row>
    <row r="400" spans="6:7">
      <c r="F400" s="17"/>
      <c r="G400" s="17"/>
    </row>
    <row r="401" spans="6:7">
      <c r="F401" s="17"/>
      <c r="G401" s="17"/>
    </row>
    <row r="402" spans="6:7">
      <c r="F402" s="17"/>
      <c r="G402" s="17"/>
    </row>
    <row r="403" spans="6:7">
      <c r="F403" s="17"/>
      <c r="G403" s="17"/>
    </row>
    <row r="404" spans="6:7">
      <c r="F404" s="17"/>
      <c r="G404" s="17"/>
    </row>
    <row r="405" spans="6:7">
      <c r="F405" s="17"/>
      <c r="G405" s="17"/>
    </row>
    <row r="406" spans="6:7">
      <c r="F406" s="17"/>
      <c r="G406" s="17"/>
    </row>
    <row r="407" spans="6:7">
      <c r="F407" s="17"/>
      <c r="G407" s="17"/>
    </row>
    <row r="408" spans="6:7">
      <c r="F408" s="17"/>
      <c r="G408" s="17"/>
    </row>
    <row r="409" spans="6:7">
      <c r="F409" s="17"/>
      <c r="G409" s="17"/>
    </row>
    <row r="410" spans="6:7">
      <c r="F410" s="17"/>
      <c r="G410" s="17"/>
    </row>
    <row r="411" spans="6:7">
      <c r="F411" s="17"/>
      <c r="G411" s="17"/>
    </row>
    <row r="412" spans="6:7">
      <c r="F412" s="17"/>
      <c r="G412" s="17"/>
    </row>
    <row r="413" spans="6:7">
      <c r="F413" s="17"/>
      <c r="G413" s="17"/>
    </row>
    <row r="414" spans="6:7">
      <c r="F414" s="17"/>
      <c r="G414" s="17"/>
    </row>
    <row r="415" spans="6:7">
      <c r="F415" s="17"/>
      <c r="G415" s="17"/>
    </row>
    <row r="416" spans="6:7">
      <c r="F416" s="17"/>
      <c r="G416" s="17"/>
    </row>
    <row r="417" spans="6:7">
      <c r="F417" s="17"/>
      <c r="G417" s="17"/>
    </row>
    <row r="418" spans="6:7">
      <c r="F418" s="17"/>
      <c r="G418" s="17"/>
    </row>
    <row r="419" spans="6:7">
      <c r="F419" s="17"/>
      <c r="G419" s="17"/>
    </row>
    <row r="420" spans="6:7">
      <c r="F420" s="17"/>
      <c r="G420" s="17"/>
    </row>
    <row r="421" spans="6:7">
      <c r="F421" s="17"/>
      <c r="G421" s="17"/>
    </row>
    <row r="422" spans="6:7">
      <c r="F422" s="17"/>
      <c r="G422" s="17"/>
    </row>
    <row r="423" spans="6:7">
      <c r="F423" s="17"/>
      <c r="G423" s="17"/>
    </row>
    <row r="424" spans="6:7">
      <c r="F424" s="17"/>
      <c r="G424" s="17"/>
    </row>
    <row r="425" spans="6:7">
      <c r="F425" s="17"/>
      <c r="G425" s="17"/>
    </row>
    <row r="426" spans="6:7">
      <c r="F426" s="17"/>
      <c r="G426" s="17"/>
    </row>
    <row r="427" spans="6:7">
      <c r="F427" s="17"/>
      <c r="G427" s="17"/>
    </row>
    <row r="428" spans="6:7">
      <c r="F428" s="17"/>
      <c r="G428" s="17"/>
    </row>
    <row r="429" spans="6:7">
      <c r="F429" s="17"/>
      <c r="G429" s="17"/>
    </row>
    <row r="430" spans="6:7">
      <c r="F430" s="17"/>
      <c r="G430" s="17"/>
    </row>
    <row r="431" spans="6:7">
      <c r="F431" s="17"/>
      <c r="G431" s="17"/>
    </row>
    <row r="432" spans="6:7">
      <c r="F432" s="17"/>
      <c r="G432" s="17"/>
    </row>
    <row r="433" spans="6:7">
      <c r="F433" s="17"/>
      <c r="G433" s="17"/>
    </row>
    <row r="434" spans="6:7">
      <c r="F434" s="17"/>
      <c r="G434" s="17"/>
    </row>
    <row r="435" spans="6:7">
      <c r="F435" s="17"/>
      <c r="G435" s="17"/>
    </row>
    <row r="436" spans="6:7">
      <c r="F436" s="17"/>
      <c r="G436" s="17"/>
    </row>
    <row r="437" spans="6:7">
      <c r="F437" s="17"/>
      <c r="G437" s="17"/>
    </row>
    <row r="438" spans="6:7">
      <c r="F438" s="17"/>
      <c r="G438" s="17"/>
    </row>
    <row r="439" spans="6:7">
      <c r="F439" s="17"/>
      <c r="G439" s="17"/>
    </row>
    <row r="440" spans="6:7">
      <c r="F440" s="17"/>
      <c r="G440" s="17"/>
    </row>
    <row r="441" spans="6:7">
      <c r="F441" s="17"/>
      <c r="G441" s="17"/>
    </row>
    <row r="442" spans="6:7">
      <c r="F442" s="17"/>
      <c r="G442" s="17"/>
    </row>
    <row r="443" spans="6:7">
      <c r="F443" s="17"/>
      <c r="G443" s="17"/>
    </row>
    <row r="444" spans="6:7">
      <c r="F444" s="17"/>
      <c r="G444" s="17"/>
    </row>
    <row r="445" spans="6:7">
      <c r="F445" s="17"/>
      <c r="G445" s="17"/>
    </row>
    <row r="446" spans="6:7">
      <c r="F446" s="17"/>
      <c r="G446" s="17"/>
    </row>
    <row r="447" spans="6:7">
      <c r="F447" s="17"/>
      <c r="G447" s="17"/>
    </row>
    <row r="448" spans="6:7">
      <c r="F448" s="17"/>
      <c r="G448" s="17"/>
    </row>
    <row r="449" spans="6:7">
      <c r="F449" s="17"/>
      <c r="G449" s="17"/>
    </row>
    <row r="450" spans="6:7">
      <c r="F450" s="17"/>
      <c r="G450" s="17"/>
    </row>
    <row r="451" spans="6:7">
      <c r="F451" s="17"/>
      <c r="G451" s="17"/>
    </row>
    <row r="452" spans="6:7">
      <c r="F452" s="17"/>
      <c r="G452" s="17"/>
    </row>
    <row r="453" spans="6:7">
      <c r="F453" s="17"/>
      <c r="G453" s="17"/>
    </row>
    <row r="454" spans="6:7">
      <c r="F454" s="17"/>
      <c r="G454" s="17"/>
    </row>
    <row r="455" spans="6:7">
      <c r="F455" s="17"/>
      <c r="G455" s="17"/>
    </row>
    <row r="456" spans="6:7">
      <c r="F456" s="17"/>
      <c r="G456" s="17"/>
    </row>
    <row r="457" spans="6:7">
      <c r="F457" s="17"/>
      <c r="G457" s="17"/>
    </row>
    <row r="458" spans="6:7">
      <c r="F458" s="17"/>
      <c r="G458" s="17"/>
    </row>
    <row r="459" spans="6:7">
      <c r="F459" s="17"/>
      <c r="G459" s="17"/>
    </row>
    <row r="460" spans="6:7">
      <c r="F460" s="17"/>
      <c r="G460" s="17"/>
    </row>
    <row r="461" spans="6:7">
      <c r="F461" s="17"/>
      <c r="G461" s="17"/>
    </row>
    <row r="462" spans="6:7">
      <c r="F462" s="17"/>
      <c r="G462" s="17"/>
    </row>
    <row r="463" spans="6:7">
      <c r="F463" s="17"/>
      <c r="G463" s="17"/>
    </row>
    <row r="464" spans="6:7">
      <c r="F464" s="17"/>
      <c r="G464" s="17"/>
    </row>
    <row r="465" spans="6:7">
      <c r="F465" s="17"/>
      <c r="G465" s="17"/>
    </row>
    <row r="466" spans="6:7">
      <c r="F466" s="17"/>
      <c r="G466" s="17"/>
    </row>
    <row r="467" spans="6:7">
      <c r="F467" s="17"/>
      <c r="G467" s="17"/>
    </row>
    <row r="468" spans="6:7">
      <c r="F468" s="17"/>
      <c r="G468" s="17"/>
    </row>
    <row r="469" spans="6:7">
      <c r="F469" s="17"/>
      <c r="G469" s="17"/>
    </row>
    <row r="470" spans="6:7">
      <c r="F470" s="17"/>
      <c r="G470" s="17"/>
    </row>
    <row r="471" spans="6:7">
      <c r="F471" s="17"/>
      <c r="G471" s="17"/>
    </row>
    <row r="472" spans="6:7">
      <c r="F472" s="17"/>
      <c r="G472" s="17"/>
    </row>
    <row r="473" spans="6:7">
      <c r="F473" s="17"/>
      <c r="G473" s="17"/>
    </row>
    <row r="474" spans="6:7">
      <c r="F474" s="17"/>
      <c r="G474" s="17"/>
    </row>
    <row r="475" spans="6:7">
      <c r="F475" s="17"/>
      <c r="G475" s="17"/>
    </row>
    <row r="476" spans="6:7">
      <c r="F476" s="17"/>
      <c r="G476" s="17"/>
    </row>
    <row r="477" spans="6:7">
      <c r="F477" s="17"/>
      <c r="G477" s="17"/>
    </row>
    <row r="478" spans="6:7">
      <c r="F478" s="17"/>
      <c r="G478" s="17"/>
    </row>
    <row r="479" spans="6:7">
      <c r="F479" s="17"/>
      <c r="G479" s="17"/>
    </row>
    <row r="480" spans="6:7">
      <c r="F480" s="17"/>
      <c r="G480" s="17"/>
    </row>
    <row r="481" spans="6:7">
      <c r="F481" s="17"/>
      <c r="G481" s="17"/>
    </row>
    <row r="482" spans="6:7">
      <c r="F482" s="17"/>
      <c r="G482" s="17"/>
    </row>
    <row r="483" spans="6:7">
      <c r="F483" s="17"/>
      <c r="G483" s="17"/>
    </row>
    <row r="484" spans="6:7">
      <c r="F484" s="17"/>
      <c r="G484" s="17"/>
    </row>
    <row r="485" spans="6:7">
      <c r="F485" s="17"/>
      <c r="G485" s="17"/>
    </row>
    <row r="486" spans="6:7">
      <c r="F486" s="17"/>
      <c r="G486" s="17"/>
    </row>
    <row r="487" spans="6:7">
      <c r="F487" s="17"/>
      <c r="G487" s="17"/>
    </row>
    <row r="488" spans="6:7">
      <c r="F488" s="17"/>
      <c r="G488" s="17"/>
    </row>
    <row r="489" spans="6:7">
      <c r="F489" s="17"/>
      <c r="G489" s="17"/>
    </row>
    <row r="490" spans="6:7">
      <c r="F490" s="17"/>
      <c r="G490" s="17"/>
    </row>
    <row r="491" spans="6:7">
      <c r="F491" s="17"/>
      <c r="G491" s="17"/>
    </row>
    <row r="492" spans="6:7">
      <c r="F492" s="17"/>
      <c r="G492" s="17"/>
    </row>
    <row r="493" spans="6:7">
      <c r="F493" s="17"/>
      <c r="G493" s="17"/>
    </row>
    <row r="494" spans="6:7">
      <c r="F494" s="17"/>
      <c r="G494" s="17"/>
    </row>
    <row r="495" spans="6:7">
      <c r="F495" s="17"/>
      <c r="G495" s="17"/>
    </row>
    <row r="496" spans="6:7">
      <c r="F496" s="17"/>
      <c r="G496" s="17"/>
    </row>
    <row r="497" spans="6:7">
      <c r="F497" s="17"/>
      <c r="G497" s="17"/>
    </row>
    <row r="498" spans="6:7">
      <c r="F498" s="17"/>
      <c r="G498" s="17"/>
    </row>
    <row r="499" spans="6:7">
      <c r="F499" s="17"/>
      <c r="G499" s="17"/>
    </row>
    <row r="500" spans="6:7">
      <c r="F500" s="17"/>
      <c r="G500" s="17"/>
    </row>
    <row r="501" spans="6:7">
      <c r="F501" s="17"/>
      <c r="G501" s="17"/>
    </row>
    <row r="502" spans="6:7">
      <c r="F502" s="17"/>
      <c r="G502" s="17"/>
    </row>
    <row r="503" spans="6:7">
      <c r="F503" s="17"/>
      <c r="G503" s="17"/>
    </row>
    <row r="504" spans="6:7">
      <c r="F504" s="17"/>
      <c r="G504" s="17"/>
    </row>
    <row r="505" spans="6:7">
      <c r="F505" s="17"/>
      <c r="G505" s="17"/>
    </row>
    <row r="506" spans="6:7">
      <c r="F506" s="17"/>
      <c r="G506" s="17"/>
    </row>
    <row r="507" spans="6:7">
      <c r="F507" s="17"/>
      <c r="G507" s="17"/>
    </row>
    <row r="508" spans="6:7">
      <c r="F508" s="17"/>
      <c r="G508" s="17"/>
    </row>
    <row r="509" spans="6:7">
      <c r="F509" s="17"/>
      <c r="G509" s="17"/>
    </row>
    <row r="510" spans="6:7">
      <c r="F510" s="17"/>
      <c r="G510" s="17"/>
    </row>
    <row r="511" spans="6:7">
      <c r="F511" s="17"/>
      <c r="G511" s="17"/>
    </row>
    <row r="512" spans="6:7">
      <c r="F512" s="17"/>
      <c r="G512" s="17"/>
    </row>
    <row r="513" spans="6:7">
      <c r="F513" s="17"/>
      <c r="G513" s="17"/>
    </row>
    <row r="514" spans="6:7">
      <c r="F514" s="17"/>
      <c r="G514" s="17"/>
    </row>
    <row r="515" spans="6:7">
      <c r="F515" s="17"/>
      <c r="G515" s="17"/>
    </row>
    <row r="516" spans="6:7">
      <c r="F516" s="17"/>
      <c r="G516" s="17"/>
    </row>
    <row r="517" spans="6:7">
      <c r="F517" s="17"/>
      <c r="G517" s="17"/>
    </row>
    <row r="518" spans="6:7">
      <c r="F518" s="17"/>
      <c r="G518" s="17"/>
    </row>
    <row r="519" spans="6:7">
      <c r="F519" s="17"/>
      <c r="G519" s="17"/>
    </row>
    <row r="520" spans="6:7">
      <c r="F520" s="17"/>
      <c r="G520" s="17"/>
    </row>
    <row r="521" spans="6:7">
      <c r="F521" s="17"/>
      <c r="G521" s="17"/>
    </row>
    <row r="522" spans="6:7">
      <c r="F522" s="17"/>
      <c r="G522" s="17"/>
    </row>
    <row r="523" spans="6:7">
      <c r="F523" s="17"/>
      <c r="G523" s="17"/>
    </row>
    <row r="524" spans="6:7">
      <c r="F524" s="17"/>
      <c r="G524" s="17"/>
    </row>
    <row r="525" spans="6:7">
      <c r="F525" s="17"/>
      <c r="G525" s="17"/>
    </row>
    <row r="526" spans="6:7">
      <c r="F526" s="17"/>
      <c r="G526" s="17"/>
    </row>
    <row r="527" spans="6:7">
      <c r="F527" s="17"/>
      <c r="G527" s="17"/>
    </row>
    <row r="528" spans="6:7">
      <c r="F528" s="17"/>
      <c r="G528" s="17"/>
    </row>
    <row r="529" spans="6:7">
      <c r="F529" s="17"/>
      <c r="G529" s="17"/>
    </row>
    <row r="530" spans="6:7">
      <c r="F530" s="17"/>
      <c r="G530" s="17"/>
    </row>
    <row r="531" spans="6:7">
      <c r="F531" s="17"/>
      <c r="G531" s="17"/>
    </row>
    <row r="532" spans="6:7">
      <c r="F532" s="17"/>
      <c r="G532" s="17"/>
    </row>
    <row r="533" spans="6:7">
      <c r="F533" s="17"/>
      <c r="G533" s="17"/>
    </row>
    <row r="534" spans="6:7">
      <c r="F534" s="17"/>
      <c r="G534" s="17"/>
    </row>
    <row r="535" spans="6:7">
      <c r="F535" s="17"/>
      <c r="G535" s="17"/>
    </row>
    <row r="536" spans="6:7">
      <c r="F536" s="17"/>
      <c r="G536" s="17"/>
    </row>
    <row r="537" spans="6:7">
      <c r="F537" s="17"/>
      <c r="G537" s="17"/>
    </row>
    <row r="538" spans="6:7">
      <c r="F538" s="17"/>
      <c r="G538" s="17"/>
    </row>
    <row r="539" spans="6:7">
      <c r="F539" s="17"/>
      <c r="G539" s="17"/>
    </row>
    <row r="540" spans="6:7">
      <c r="F540" s="17"/>
      <c r="G540" s="17"/>
    </row>
    <row r="541" spans="6:7">
      <c r="F541" s="17"/>
      <c r="G541" s="17"/>
    </row>
    <row r="542" spans="6:7">
      <c r="F542" s="17"/>
      <c r="G542" s="17"/>
    </row>
    <row r="543" spans="6:7">
      <c r="F543" s="17"/>
      <c r="G543" s="17"/>
    </row>
    <row r="544" spans="6:7">
      <c r="F544" s="17"/>
      <c r="G544" s="17"/>
    </row>
    <row r="545" spans="6:7">
      <c r="F545" s="17"/>
      <c r="G545" s="17"/>
    </row>
    <row r="546" spans="6:7">
      <c r="F546" s="17"/>
      <c r="G546" s="17"/>
    </row>
    <row r="547" spans="6:7">
      <c r="F547" s="17"/>
      <c r="G547" s="17"/>
    </row>
    <row r="548" spans="6:7">
      <c r="F548" s="17"/>
      <c r="G548" s="17"/>
    </row>
    <row r="549" spans="6:7">
      <c r="F549" s="17"/>
      <c r="G549" s="17"/>
    </row>
    <row r="550" spans="6:7">
      <c r="F550" s="17"/>
      <c r="G550" s="17"/>
    </row>
    <row r="551" spans="6:7">
      <c r="F551" s="17"/>
      <c r="G551" s="17"/>
    </row>
    <row r="552" spans="6:7">
      <c r="F552" s="17"/>
      <c r="G552" s="17"/>
    </row>
    <row r="553" spans="6:7">
      <c r="F553" s="17"/>
      <c r="G553" s="17"/>
    </row>
    <row r="554" spans="6:7">
      <c r="F554" s="17"/>
      <c r="G554" s="17"/>
    </row>
    <row r="555" spans="6:7">
      <c r="F555" s="17"/>
      <c r="G555" s="17"/>
    </row>
    <row r="556" spans="6:7">
      <c r="F556" s="17"/>
      <c r="G556" s="17"/>
    </row>
    <row r="557" spans="6:7">
      <c r="F557" s="17"/>
      <c r="G557" s="17"/>
    </row>
    <row r="558" spans="6:7">
      <c r="F558" s="17"/>
      <c r="G558" s="17"/>
    </row>
    <row r="559" spans="6:7">
      <c r="F559" s="17"/>
      <c r="G559" s="17"/>
    </row>
    <row r="560" spans="6:7">
      <c r="F560" s="17"/>
      <c r="G560" s="17"/>
    </row>
    <row r="561" spans="6:7">
      <c r="F561" s="17"/>
      <c r="G561" s="17"/>
    </row>
    <row r="562" spans="6:7">
      <c r="F562" s="17"/>
      <c r="G562" s="17"/>
    </row>
    <row r="563" spans="6:7">
      <c r="F563" s="17"/>
      <c r="G563" s="17"/>
    </row>
    <row r="564" spans="6:7">
      <c r="F564" s="17"/>
      <c r="G564" s="17"/>
    </row>
    <row r="565" spans="6:7">
      <c r="F565" s="17"/>
      <c r="G565" s="17"/>
    </row>
    <row r="566" spans="6:7">
      <c r="F566" s="17"/>
      <c r="G566" s="17"/>
    </row>
    <row r="567" spans="6:7">
      <c r="F567" s="17"/>
      <c r="G567" s="17"/>
    </row>
    <row r="568" spans="6:7">
      <c r="F568" s="17"/>
      <c r="G568" s="17"/>
    </row>
    <row r="569" spans="6:7">
      <c r="F569" s="17"/>
      <c r="G569" s="17"/>
    </row>
    <row r="570" spans="6:7">
      <c r="F570" s="17"/>
      <c r="G570" s="17"/>
    </row>
    <row r="571" spans="6:7">
      <c r="F571" s="17"/>
      <c r="G571" s="17"/>
    </row>
    <row r="572" spans="6:7">
      <c r="F572" s="17"/>
      <c r="G572" s="17"/>
    </row>
    <row r="573" spans="6:7">
      <c r="F573" s="17"/>
      <c r="G573" s="17"/>
    </row>
    <row r="574" spans="6:7">
      <c r="F574" s="17"/>
      <c r="G574" s="17"/>
    </row>
    <row r="575" spans="6:7">
      <c r="F575" s="17"/>
      <c r="G575" s="17"/>
    </row>
    <row r="576" spans="6:7">
      <c r="F576" s="17"/>
      <c r="G576" s="17"/>
    </row>
    <row r="577" spans="6:7">
      <c r="F577" s="17"/>
      <c r="G577" s="17"/>
    </row>
    <row r="578" spans="6:7">
      <c r="F578" s="17"/>
      <c r="G578" s="17"/>
    </row>
    <row r="579" spans="6:7">
      <c r="F579" s="17"/>
      <c r="G579" s="17"/>
    </row>
    <row r="580" spans="6:7">
      <c r="F580" s="17"/>
      <c r="G580" s="17"/>
    </row>
    <row r="581" spans="6:7">
      <c r="F581" s="17"/>
      <c r="G581" s="17"/>
    </row>
    <row r="582" spans="6:7">
      <c r="F582" s="17"/>
      <c r="G582" s="17"/>
    </row>
    <row r="583" spans="6:7">
      <c r="F583" s="17"/>
      <c r="G583" s="17"/>
    </row>
    <row r="584" spans="6:7">
      <c r="F584" s="17"/>
      <c r="G584" s="17"/>
    </row>
    <row r="585" spans="6:7">
      <c r="F585" s="17"/>
      <c r="G585" s="17"/>
    </row>
    <row r="586" spans="6:7">
      <c r="F586" s="17"/>
      <c r="G586" s="17"/>
    </row>
    <row r="587" spans="6:7">
      <c r="F587" s="17"/>
      <c r="G587" s="17"/>
    </row>
    <row r="588" spans="6:7">
      <c r="F588" s="17"/>
      <c r="G588" s="17"/>
    </row>
    <row r="589" spans="6:7">
      <c r="F589" s="17"/>
      <c r="G589" s="17"/>
    </row>
    <row r="590" spans="6:7">
      <c r="F590" s="17"/>
      <c r="G590" s="17"/>
    </row>
    <row r="591" spans="6:7">
      <c r="F591" s="17"/>
      <c r="G591" s="17"/>
    </row>
    <row r="592" spans="6:7">
      <c r="F592" s="17"/>
      <c r="G592" s="17"/>
    </row>
    <row r="593" spans="6:7">
      <c r="F593" s="17"/>
      <c r="G593" s="17"/>
    </row>
    <row r="594" spans="6:7">
      <c r="F594" s="17"/>
      <c r="G594" s="17"/>
    </row>
    <row r="595" spans="6:7">
      <c r="F595" s="17"/>
      <c r="G595" s="17"/>
    </row>
    <row r="596" spans="6:7">
      <c r="F596" s="17"/>
      <c r="G596" s="17"/>
    </row>
    <row r="597" spans="6:7">
      <c r="F597" s="17"/>
      <c r="G597" s="17"/>
    </row>
    <row r="598" spans="6:7">
      <c r="F598" s="17"/>
      <c r="G598" s="17"/>
    </row>
    <row r="599" spans="6:7">
      <c r="F599" s="17"/>
      <c r="G599" s="17"/>
    </row>
    <row r="600" spans="6:7">
      <c r="F600" s="17"/>
      <c r="G600" s="17"/>
    </row>
    <row r="601" spans="6:7">
      <c r="F601" s="17"/>
      <c r="G601" s="17"/>
    </row>
    <row r="602" spans="6:7">
      <c r="F602" s="17"/>
      <c r="G602" s="17"/>
    </row>
    <row r="603" spans="6:7">
      <c r="F603" s="17"/>
      <c r="G603" s="17"/>
    </row>
    <row r="604" spans="6:7">
      <c r="F604" s="17"/>
      <c r="G604" s="17"/>
    </row>
    <row r="605" spans="6:7">
      <c r="F605" s="17"/>
      <c r="G605" s="17"/>
    </row>
    <row r="606" spans="6:7">
      <c r="F606" s="17"/>
      <c r="G606" s="17"/>
    </row>
    <row r="607" spans="6:7">
      <c r="F607" s="17"/>
      <c r="G607" s="17"/>
    </row>
    <row r="608" spans="6:7">
      <c r="F608" s="17"/>
      <c r="G608" s="17"/>
    </row>
    <row r="609" spans="6:7">
      <c r="F609" s="17"/>
      <c r="G609" s="17"/>
    </row>
    <row r="610" spans="6:7">
      <c r="F610" s="17"/>
      <c r="G610" s="17"/>
    </row>
    <row r="611" spans="6:7">
      <c r="F611" s="17"/>
      <c r="G611" s="17"/>
    </row>
    <row r="612" spans="6:7">
      <c r="F612" s="17"/>
      <c r="G612" s="17"/>
    </row>
    <row r="613" spans="6:7">
      <c r="F613" s="17"/>
      <c r="G613" s="17"/>
    </row>
    <row r="614" spans="6:7">
      <c r="F614" s="17"/>
      <c r="G614" s="17"/>
    </row>
    <row r="615" spans="6:7">
      <c r="F615" s="17"/>
      <c r="G615" s="17"/>
    </row>
    <row r="616" spans="6:7">
      <c r="F616" s="17"/>
      <c r="G616" s="17"/>
    </row>
    <row r="617" spans="6:7">
      <c r="F617" s="17"/>
      <c r="G617" s="17"/>
    </row>
    <row r="618" spans="6:7">
      <c r="F618" s="17"/>
      <c r="G618" s="17"/>
    </row>
    <row r="619" spans="6:7">
      <c r="F619" s="17"/>
      <c r="G619" s="17"/>
    </row>
    <row r="620" spans="6:7">
      <c r="F620" s="17"/>
      <c r="G620" s="17"/>
    </row>
    <row r="621" spans="6:7">
      <c r="F621" s="17"/>
      <c r="G621" s="17"/>
    </row>
    <row r="622" spans="6:7">
      <c r="F622" s="17"/>
      <c r="G622" s="17"/>
    </row>
    <row r="623" spans="6:7">
      <c r="F623" s="17"/>
      <c r="G623" s="17"/>
    </row>
    <row r="624" spans="6:7">
      <c r="F624" s="17"/>
      <c r="G624" s="17"/>
    </row>
    <row r="625" spans="6:7">
      <c r="F625" s="17"/>
      <c r="G625" s="17"/>
    </row>
    <row r="626" spans="6:7">
      <c r="F626" s="17"/>
      <c r="G626" s="17"/>
    </row>
    <row r="627" spans="6:7">
      <c r="F627" s="17"/>
      <c r="G627" s="17"/>
    </row>
    <row r="628" spans="6:7">
      <c r="F628" s="17"/>
      <c r="G628" s="17"/>
    </row>
    <row r="629" spans="6:7">
      <c r="F629" s="17"/>
      <c r="G629" s="17"/>
    </row>
    <row r="630" spans="6:7">
      <c r="F630" s="17"/>
      <c r="G630" s="17"/>
    </row>
    <row r="631" spans="6:7">
      <c r="F631" s="17"/>
      <c r="G631" s="17"/>
    </row>
    <row r="632" spans="6:7">
      <c r="F632" s="17"/>
      <c r="G632" s="17"/>
    </row>
    <row r="633" spans="6:7">
      <c r="F633" s="17"/>
      <c r="G633" s="17"/>
    </row>
    <row r="634" spans="6:7">
      <c r="F634" s="17"/>
      <c r="G634" s="17"/>
    </row>
    <row r="635" spans="6:7">
      <c r="F635" s="17"/>
      <c r="G635" s="17"/>
    </row>
    <row r="636" spans="6:7">
      <c r="F636" s="17"/>
      <c r="G636" s="17"/>
    </row>
    <row r="637" spans="6:7">
      <c r="F637" s="17"/>
      <c r="G637" s="17"/>
    </row>
    <row r="638" spans="6:7">
      <c r="F638" s="17"/>
      <c r="G638" s="17"/>
    </row>
    <row r="639" spans="6:7">
      <c r="F639" s="17"/>
      <c r="G639" s="17"/>
    </row>
    <row r="640" spans="6:7">
      <c r="F640" s="17"/>
      <c r="G640" s="17"/>
    </row>
    <row r="641" spans="6:7">
      <c r="F641" s="17"/>
      <c r="G641" s="17"/>
    </row>
    <row r="642" spans="6:7">
      <c r="F642" s="17"/>
      <c r="G642" s="17"/>
    </row>
    <row r="643" spans="6:7">
      <c r="F643" s="17"/>
      <c r="G643" s="17"/>
    </row>
    <row r="644" spans="6:7">
      <c r="F644" s="17"/>
      <c r="G644" s="17"/>
    </row>
    <row r="645" spans="6:7">
      <c r="F645" s="17"/>
      <c r="G645" s="17"/>
    </row>
    <row r="646" spans="6:7">
      <c r="F646" s="17"/>
      <c r="G646" s="17"/>
    </row>
    <row r="647" spans="6:7">
      <c r="F647" s="17"/>
      <c r="G647" s="17"/>
    </row>
    <row r="648" spans="6:7">
      <c r="F648" s="17"/>
      <c r="G648" s="17"/>
    </row>
    <row r="649" spans="6:7">
      <c r="F649" s="17"/>
      <c r="G649" s="17"/>
    </row>
    <row r="650" spans="6:7">
      <c r="F650" s="17"/>
      <c r="G650" s="17"/>
    </row>
    <row r="651" spans="6:7">
      <c r="F651" s="17"/>
      <c r="G651" s="17"/>
    </row>
    <row r="652" spans="6:7">
      <c r="F652" s="17"/>
      <c r="G652" s="17"/>
    </row>
    <row r="653" spans="6:7">
      <c r="F653" s="17"/>
      <c r="G653" s="17"/>
    </row>
    <row r="654" spans="6:7">
      <c r="F654" s="17"/>
      <c r="G654" s="17"/>
    </row>
    <row r="655" spans="6:7">
      <c r="F655" s="17"/>
      <c r="G655" s="17"/>
    </row>
    <row r="656" spans="6:7">
      <c r="F656" s="17"/>
      <c r="G656" s="17"/>
    </row>
    <row r="657" spans="6:7">
      <c r="F657" s="17"/>
      <c r="G657" s="17"/>
    </row>
    <row r="658" spans="6:7">
      <c r="F658" s="17"/>
      <c r="G658" s="17"/>
    </row>
    <row r="659" spans="6:7">
      <c r="F659" s="17"/>
      <c r="G659" s="17"/>
    </row>
    <row r="660" spans="6:7">
      <c r="F660" s="17"/>
      <c r="G660" s="17"/>
    </row>
    <row r="661" spans="6:7">
      <c r="F661" s="17"/>
      <c r="G661" s="17"/>
    </row>
    <row r="662" spans="6:7">
      <c r="F662" s="17"/>
      <c r="G662" s="17"/>
    </row>
    <row r="663" spans="6:7">
      <c r="F663" s="17"/>
      <c r="G663" s="17"/>
    </row>
    <row r="664" spans="6:7">
      <c r="F664" s="17"/>
      <c r="G664" s="17"/>
    </row>
    <row r="665" spans="6:7">
      <c r="F665" s="17"/>
      <c r="G665" s="17"/>
    </row>
    <row r="666" spans="6:7">
      <c r="F666" s="17"/>
      <c r="G666" s="17"/>
    </row>
    <row r="667" spans="6:7">
      <c r="F667" s="17"/>
      <c r="G667" s="17"/>
    </row>
    <row r="668" spans="6:7">
      <c r="F668" s="17"/>
      <c r="G668" s="17"/>
    </row>
    <row r="669" spans="6:7">
      <c r="F669" s="17"/>
      <c r="G669" s="17"/>
    </row>
    <row r="670" spans="6:7">
      <c r="F670" s="17"/>
      <c r="G670" s="17"/>
    </row>
    <row r="671" spans="6:7">
      <c r="F671" s="17"/>
      <c r="G671" s="17"/>
    </row>
    <row r="672" spans="6:7">
      <c r="F672" s="17"/>
      <c r="G672" s="17"/>
    </row>
    <row r="673" spans="6:7">
      <c r="F673" s="17"/>
      <c r="G673" s="17"/>
    </row>
    <row r="674" spans="6:7">
      <c r="F674" s="17"/>
      <c r="G674" s="17"/>
    </row>
    <row r="675" spans="6:7">
      <c r="F675" s="17"/>
      <c r="G675" s="17"/>
    </row>
    <row r="676" spans="6:7">
      <c r="F676" s="17"/>
      <c r="G676" s="17"/>
    </row>
    <row r="677" spans="6:7">
      <c r="F677" s="17"/>
      <c r="G677" s="17"/>
    </row>
    <row r="678" spans="6:7">
      <c r="F678" s="17"/>
      <c r="G678" s="17"/>
    </row>
    <row r="679" spans="6:7">
      <c r="F679" s="17"/>
      <c r="G679" s="17"/>
    </row>
    <row r="680" spans="6:7">
      <c r="F680" s="17"/>
      <c r="G680" s="17"/>
    </row>
    <row r="681" spans="6:7">
      <c r="F681" s="17"/>
      <c r="G681" s="17"/>
    </row>
    <row r="682" spans="6:7">
      <c r="F682" s="17"/>
      <c r="G682" s="17"/>
    </row>
    <row r="683" spans="6:7">
      <c r="F683" s="17"/>
      <c r="G683" s="17"/>
    </row>
    <row r="684" spans="6:7">
      <c r="F684" s="17"/>
      <c r="G684" s="17"/>
    </row>
    <row r="685" spans="6:7">
      <c r="F685" s="17"/>
      <c r="G685" s="17"/>
    </row>
    <row r="686" spans="6:7">
      <c r="F686" s="17"/>
      <c r="G686" s="17"/>
    </row>
    <row r="687" spans="6:7">
      <c r="F687" s="17"/>
      <c r="G687" s="17"/>
    </row>
    <row r="688" spans="6:7">
      <c r="F688" s="17"/>
      <c r="G688" s="17"/>
    </row>
    <row r="689" spans="6:7">
      <c r="F689" s="17"/>
      <c r="G689" s="17"/>
    </row>
    <row r="690" spans="6:7">
      <c r="F690" s="17"/>
      <c r="G690" s="17"/>
    </row>
    <row r="691" spans="6:7">
      <c r="F691" s="17"/>
      <c r="G691" s="17"/>
    </row>
    <row r="692" spans="6:7">
      <c r="F692" s="17"/>
      <c r="G692" s="17"/>
    </row>
    <row r="693" spans="6:7">
      <c r="F693" s="17"/>
      <c r="G693" s="17"/>
    </row>
    <row r="694" spans="6:7">
      <c r="F694" s="17"/>
      <c r="G694" s="17"/>
    </row>
    <row r="695" spans="6:7">
      <c r="F695" s="17"/>
      <c r="G695" s="17"/>
    </row>
    <row r="696" spans="6:7">
      <c r="F696" s="17"/>
      <c r="G696" s="17"/>
    </row>
    <row r="697" spans="6:7">
      <c r="F697" s="17"/>
      <c r="G697" s="17"/>
    </row>
    <row r="698" spans="6:7">
      <c r="F698" s="17"/>
      <c r="G698" s="17"/>
    </row>
    <row r="699" spans="6:7">
      <c r="F699" s="17"/>
      <c r="G699" s="17"/>
    </row>
    <row r="700" spans="6:7">
      <c r="F700" s="17"/>
      <c r="G700" s="17"/>
    </row>
    <row r="701" spans="6:7">
      <c r="F701" s="17"/>
      <c r="G701" s="17"/>
    </row>
    <row r="702" spans="6:7">
      <c r="F702" s="17"/>
      <c r="G702" s="17"/>
    </row>
    <row r="703" spans="6:7">
      <c r="F703" s="17"/>
      <c r="G703" s="17"/>
    </row>
    <row r="704" spans="6:7">
      <c r="F704" s="17"/>
      <c r="G704" s="17"/>
    </row>
    <row r="705" spans="6:7">
      <c r="F705" s="17"/>
      <c r="G705" s="17"/>
    </row>
    <row r="706" spans="6:7">
      <c r="F706" s="17"/>
      <c r="G706" s="17"/>
    </row>
    <row r="707" spans="6:7">
      <c r="F707" s="17"/>
      <c r="G707" s="17"/>
    </row>
    <row r="708" spans="6:7">
      <c r="F708" s="17"/>
      <c r="G708" s="17"/>
    </row>
    <row r="709" spans="6:7">
      <c r="F709" s="17"/>
      <c r="G709" s="17"/>
    </row>
    <row r="710" spans="6:7">
      <c r="F710" s="17"/>
      <c r="G710" s="17"/>
    </row>
    <row r="711" spans="6:7">
      <c r="F711" s="17"/>
      <c r="G711" s="17"/>
    </row>
    <row r="712" spans="6:7">
      <c r="F712" s="17"/>
      <c r="G712" s="17"/>
    </row>
    <row r="713" spans="6:7">
      <c r="F713" s="17"/>
      <c r="G713" s="17"/>
    </row>
    <row r="714" spans="6:7">
      <c r="F714" s="17"/>
      <c r="G714" s="17"/>
    </row>
    <row r="715" spans="6:7">
      <c r="F715" s="17"/>
      <c r="G715" s="17"/>
    </row>
    <row r="716" spans="6:7">
      <c r="F716" s="17"/>
      <c r="G716" s="17"/>
    </row>
    <row r="717" spans="6:7">
      <c r="F717" s="17"/>
      <c r="G717" s="17"/>
    </row>
    <row r="718" spans="6:7">
      <c r="F718" s="17"/>
      <c r="G718" s="17"/>
    </row>
    <row r="719" spans="6:7">
      <c r="F719" s="17"/>
      <c r="G719" s="17"/>
    </row>
    <row r="720" spans="6:7">
      <c r="F720" s="17"/>
      <c r="G720" s="17"/>
    </row>
    <row r="721" spans="6:7">
      <c r="F721" s="17"/>
      <c r="G721" s="17"/>
    </row>
    <row r="722" spans="6:7">
      <c r="F722" s="17"/>
      <c r="G722" s="17"/>
    </row>
    <row r="723" spans="6:7">
      <c r="F723" s="17"/>
      <c r="G723" s="17"/>
    </row>
    <row r="724" spans="6:7">
      <c r="F724" s="17"/>
      <c r="G724" s="17"/>
    </row>
    <row r="725" spans="6:7">
      <c r="F725" s="17"/>
      <c r="G725" s="17"/>
    </row>
    <row r="726" spans="6:7">
      <c r="F726" s="17"/>
      <c r="G726" s="17"/>
    </row>
    <row r="727" spans="6:7">
      <c r="F727" s="17"/>
      <c r="G727" s="17"/>
    </row>
    <row r="728" spans="6:7">
      <c r="F728" s="17"/>
      <c r="G728" s="17"/>
    </row>
    <row r="729" spans="6:7">
      <c r="F729" s="17"/>
      <c r="G729" s="17"/>
    </row>
    <row r="730" spans="6:7">
      <c r="F730" s="17"/>
      <c r="G730" s="17"/>
    </row>
    <row r="731" spans="6:7">
      <c r="F731" s="17"/>
      <c r="G731" s="17"/>
    </row>
    <row r="732" spans="6:7">
      <c r="F732" s="17"/>
      <c r="G732" s="17"/>
    </row>
    <row r="733" spans="6:7">
      <c r="F733" s="17"/>
      <c r="G733" s="17"/>
    </row>
    <row r="734" spans="6:7">
      <c r="F734" s="17"/>
      <c r="G734" s="17"/>
    </row>
    <row r="735" spans="6:7">
      <c r="F735" s="17"/>
      <c r="G735" s="17"/>
    </row>
    <row r="736" spans="6:7">
      <c r="F736" s="17"/>
      <c r="G736" s="17"/>
    </row>
    <row r="737" spans="6:7">
      <c r="F737" s="17"/>
      <c r="G737" s="17"/>
    </row>
    <row r="738" spans="6:7">
      <c r="F738" s="17"/>
      <c r="G738" s="17"/>
    </row>
    <row r="739" spans="6:7">
      <c r="F739" s="17"/>
      <c r="G739" s="17"/>
    </row>
    <row r="740" spans="6:7">
      <c r="F740" s="17"/>
      <c r="G740" s="17"/>
    </row>
    <row r="741" spans="6:7">
      <c r="F741" s="17"/>
      <c r="G741" s="17"/>
    </row>
    <row r="742" spans="6:7">
      <c r="F742" s="17"/>
      <c r="G742" s="17"/>
    </row>
    <row r="743" spans="6:7">
      <c r="F743" s="17"/>
      <c r="G743" s="17"/>
    </row>
    <row r="744" spans="6:7">
      <c r="F744" s="17"/>
      <c r="G744" s="17"/>
    </row>
    <row r="745" spans="6:7">
      <c r="F745" s="17"/>
      <c r="G745" s="17"/>
    </row>
    <row r="746" spans="6:7">
      <c r="F746" s="17"/>
      <c r="G746" s="17"/>
    </row>
    <row r="747" spans="6:7">
      <c r="F747" s="17"/>
      <c r="G747" s="17"/>
    </row>
    <row r="748" spans="6:7">
      <c r="F748" s="17"/>
      <c r="G748" s="17"/>
    </row>
    <row r="749" spans="6:7">
      <c r="F749" s="17"/>
      <c r="G749" s="17"/>
    </row>
    <row r="750" spans="6:7">
      <c r="F750" s="17"/>
      <c r="G750" s="17"/>
    </row>
    <row r="751" spans="6:7">
      <c r="F751" s="17"/>
      <c r="G751" s="17"/>
    </row>
    <row r="752" spans="6:7">
      <c r="F752" s="17"/>
      <c r="G752" s="17"/>
    </row>
    <row r="753" spans="6:7">
      <c r="F753" s="17"/>
      <c r="G753" s="17"/>
    </row>
    <row r="754" spans="6:7">
      <c r="F754" s="17"/>
      <c r="G754" s="17"/>
    </row>
    <row r="755" spans="6:7">
      <c r="F755" s="17"/>
      <c r="G755" s="17"/>
    </row>
    <row r="756" spans="6:7">
      <c r="F756" s="17"/>
      <c r="G756" s="17"/>
    </row>
    <row r="757" spans="6:7">
      <c r="F757" s="17"/>
      <c r="G757" s="17"/>
    </row>
    <row r="758" spans="6:7">
      <c r="F758" s="17"/>
      <c r="G758" s="17"/>
    </row>
    <row r="759" spans="6:7">
      <c r="F759" s="17"/>
      <c r="G759" s="17"/>
    </row>
    <row r="760" spans="6:7">
      <c r="F760" s="17"/>
      <c r="G760" s="17"/>
    </row>
    <row r="761" spans="6:7">
      <c r="F761" s="17"/>
      <c r="G761" s="17"/>
    </row>
    <row r="762" spans="6:7">
      <c r="F762" s="17"/>
      <c r="G762" s="17"/>
    </row>
    <row r="763" spans="6:7">
      <c r="F763" s="17"/>
      <c r="G763" s="17"/>
    </row>
    <row r="764" spans="6:7">
      <c r="F764" s="17"/>
      <c r="G764" s="17"/>
    </row>
    <row r="765" spans="6:7">
      <c r="F765" s="17"/>
      <c r="G765" s="17"/>
    </row>
    <row r="766" spans="6:7">
      <c r="F766" s="17"/>
      <c r="G766" s="17"/>
    </row>
    <row r="767" spans="6:7">
      <c r="F767" s="17"/>
      <c r="G767" s="17"/>
    </row>
    <row r="768" spans="6:7">
      <c r="F768" s="17"/>
      <c r="G768" s="17"/>
    </row>
    <row r="769" spans="6:7">
      <c r="F769" s="17"/>
      <c r="G769" s="17"/>
    </row>
    <row r="770" spans="6:7">
      <c r="F770" s="17"/>
      <c r="G770" s="17"/>
    </row>
    <row r="771" spans="6:7">
      <c r="F771" s="17"/>
      <c r="G771" s="17"/>
    </row>
    <row r="772" spans="6:7">
      <c r="F772" s="17"/>
      <c r="G772" s="17"/>
    </row>
    <row r="773" spans="6:7">
      <c r="F773" s="17"/>
      <c r="G773" s="17"/>
    </row>
    <row r="774" spans="6:7">
      <c r="F774" s="17"/>
      <c r="G774" s="17"/>
    </row>
    <row r="775" spans="6:7">
      <c r="F775" s="17"/>
      <c r="G775" s="17"/>
    </row>
    <row r="776" spans="6:7">
      <c r="F776" s="17"/>
      <c r="G776" s="17"/>
    </row>
    <row r="777" spans="6:7">
      <c r="F777" s="17"/>
      <c r="G777" s="17"/>
    </row>
    <row r="778" spans="6:7">
      <c r="F778" s="17"/>
      <c r="G778" s="17"/>
    </row>
    <row r="779" spans="6:7">
      <c r="F779" s="17"/>
      <c r="G779" s="17"/>
    </row>
    <row r="780" spans="6:7">
      <c r="F780" s="17"/>
      <c r="G780" s="17"/>
    </row>
    <row r="781" spans="6:7">
      <c r="F781" s="17"/>
      <c r="G781" s="17"/>
    </row>
    <row r="782" spans="6:7">
      <c r="F782" s="17"/>
      <c r="G782" s="17"/>
    </row>
    <row r="783" spans="6:7">
      <c r="F783" s="17"/>
      <c r="G783" s="17"/>
    </row>
    <row r="784" spans="6:7">
      <c r="F784" s="17"/>
      <c r="G784" s="17"/>
    </row>
    <row r="785" spans="6:7">
      <c r="F785" s="17"/>
      <c r="G785" s="17"/>
    </row>
    <row r="786" spans="6:7">
      <c r="F786" s="17"/>
      <c r="G786" s="17"/>
    </row>
    <row r="787" spans="6:7">
      <c r="F787" s="17"/>
      <c r="G787" s="17"/>
    </row>
    <row r="788" spans="6:7">
      <c r="F788" s="17"/>
      <c r="G788" s="17"/>
    </row>
    <row r="789" spans="6:7">
      <c r="F789" s="17"/>
      <c r="G789" s="17"/>
    </row>
    <row r="790" spans="6:7">
      <c r="F790" s="17"/>
      <c r="G790" s="17"/>
    </row>
    <row r="791" spans="6:7">
      <c r="F791" s="17"/>
      <c r="G791" s="17"/>
    </row>
    <row r="792" spans="6:7">
      <c r="F792" s="17"/>
      <c r="G792" s="17"/>
    </row>
    <row r="793" spans="6:7">
      <c r="F793" s="17"/>
      <c r="G793" s="17"/>
    </row>
    <row r="794" spans="6:7">
      <c r="F794" s="17"/>
      <c r="G794" s="17"/>
    </row>
    <row r="795" spans="6:7">
      <c r="F795" s="17"/>
      <c r="G795" s="17"/>
    </row>
    <row r="796" spans="6:7">
      <c r="F796" s="17"/>
      <c r="G796" s="17"/>
    </row>
    <row r="797" spans="6:7">
      <c r="F797" s="17"/>
      <c r="G797" s="17"/>
    </row>
    <row r="798" spans="6:7">
      <c r="F798" s="17"/>
      <c r="G798" s="17"/>
    </row>
    <row r="799" spans="6:7">
      <c r="F799" s="17"/>
      <c r="G799" s="17"/>
    </row>
    <row r="800" spans="6:7">
      <c r="F800" s="17"/>
      <c r="G800" s="17"/>
    </row>
    <row r="801" spans="6:7">
      <c r="F801" s="17"/>
      <c r="G801" s="17"/>
    </row>
    <row r="802" spans="6:7">
      <c r="F802" s="17"/>
      <c r="G802" s="17"/>
    </row>
    <row r="803" spans="6:7">
      <c r="F803" s="17"/>
      <c r="G803" s="17"/>
    </row>
    <row r="804" spans="6:7">
      <c r="F804" s="17"/>
      <c r="G804" s="17"/>
    </row>
    <row r="805" spans="6:7">
      <c r="F805" s="17"/>
      <c r="G805" s="17"/>
    </row>
    <row r="806" spans="6:7">
      <c r="F806" s="17"/>
      <c r="G806" s="17"/>
    </row>
    <row r="807" spans="6:7">
      <c r="F807" s="17"/>
      <c r="G807" s="17"/>
    </row>
    <row r="808" spans="6:7">
      <c r="F808" s="17"/>
      <c r="G808" s="17"/>
    </row>
    <row r="809" spans="6:7">
      <c r="F809" s="17"/>
      <c r="G809" s="17"/>
    </row>
    <row r="810" spans="6:7">
      <c r="F810" s="17"/>
      <c r="G810" s="17"/>
    </row>
    <row r="811" spans="6:7">
      <c r="F811" s="17"/>
      <c r="G811" s="17"/>
    </row>
    <row r="812" spans="6:7">
      <c r="F812" s="17"/>
      <c r="G812" s="17"/>
    </row>
    <row r="813" spans="6:7">
      <c r="F813" s="17"/>
      <c r="G813" s="17"/>
    </row>
    <row r="814" spans="6:7">
      <c r="F814" s="17"/>
      <c r="G814" s="17"/>
    </row>
    <row r="815" spans="6:7">
      <c r="F815" s="17"/>
      <c r="G815" s="17"/>
    </row>
    <row r="816" spans="6:7">
      <c r="F816" s="17"/>
      <c r="G816" s="17"/>
    </row>
    <row r="817" spans="6:7">
      <c r="F817" s="17"/>
      <c r="G817" s="17"/>
    </row>
    <row r="818" spans="6:7">
      <c r="F818" s="17"/>
      <c r="G818" s="17"/>
    </row>
    <row r="819" spans="6:7">
      <c r="F819" s="17"/>
      <c r="G819" s="17"/>
    </row>
    <row r="820" spans="6:7">
      <c r="F820" s="17"/>
      <c r="G820" s="17"/>
    </row>
    <row r="821" spans="6:7">
      <c r="F821" s="17"/>
      <c r="G821" s="17"/>
    </row>
    <row r="822" spans="6:7">
      <c r="F822" s="17"/>
      <c r="G822" s="17"/>
    </row>
    <row r="823" spans="6:7">
      <c r="F823" s="17"/>
      <c r="G823" s="17"/>
    </row>
    <row r="824" spans="6:7">
      <c r="F824" s="17"/>
      <c r="G824" s="17"/>
    </row>
    <row r="825" spans="6:7">
      <c r="F825" s="17"/>
      <c r="G825" s="17"/>
    </row>
    <row r="826" spans="6:7">
      <c r="F826" s="17"/>
      <c r="G826" s="17"/>
    </row>
    <row r="827" spans="6:7">
      <c r="F827" s="17"/>
      <c r="G827" s="17"/>
    </row>
    <row r="828" spans="6:7">
      <c r="F828" s="17"/>
      <c r="G828" s="17"/>
    </row>
    <row r="829" spans="6:7">
      <c r="F829" s="17"/>
      <c r="G829" s="17"/>
    </row>
    <row r="830" spans="6:7">
      <c r="F830" s="17"/>
      <c r="G830" s="17"/>
    </row>
    <row r="831" spans="6:7">
      <c r="F831" s="17"/>
      <c r="G831" s="17"/>
    </row>
    <row r="832" spans="6:7">
      <c r="F832" s="17"/>
      <c r="G832" s="17"/>
    </row>
    <row r="833" spans="6:7">
      <c r="F833" s="17"/>
      <c r="G833" s="17"/>
    </row>
    <row r="834" spans="6:7">
      <c r="F834" s="17"/>
      <c r="G834" s="17"/>
    </row>
    <row r="835" spans="6:7">
      <c r="F835" s="17"/>
      <c r="G835" s="17"/>
    </row>
    <row r="836" spans="6:7">
      <c r="F836" s="17"/>
      <c r="G836" s="17"/>
    </row>
    <row r="837" spans="6:7">
      <c r="F837" s="17"/>
      <c r="G837" s="17"/>
    </row>
    <row r="838" spans="6:7">
      <c r="F838" s="17"/>
      <c r="G838" s="17"/>
    </row>
    <row r="839" spans="6:7">
      <c r="F839" s="17"/>
      <c r="G839" s="17"/>
    </row>
    <row r="840" spans="6:7">
      <c r="F840" s="17"/>
      <c r="G840" s="17"/>
    </row>
    <row r="841" spans="6:7">
      <c r="F841" s="17"/>
      <c r="G841" s="17"/>
    </row>
    <row r="842" spans="6:7">
      <c r="F842" s="17"/>
      <c r="G842" s="17"/>
    </row>
    <row r="843" spans="6:7">
      <c r="F843" s="17"/>
      <c r="G843" s="17"/>
    </row>
    <row r="844" spans="6:7">
      <c r="F844" s="17"/>
      <c r="G844" s="17"/>
    </row>
    <row r="845" spans="6:7">
      <c r="F845" s="17"/>
      <c r="G845" s="17"/>
    </row>
    <row r="846" spans="6:7">
      <c r="F846" s="17"/>
      <c r="G846" s="17"/>
    </row>
    <row r="847" spans="6:7">
      <c r="F847" s="17"/>
      <c r="G847" s="17"/>
    </row>
    <row r="848" spans="6:7">
      <c r="F848" s="17"/>
      <c r="G848" s="17"/>
    </row>
    <row r="849" spans="6:7">
      <c r="F849" s="17"/>
      <c r="G849" s="17"/>
    </row>
    <row r="850" spans="6:7">
      <c r="F850" s="17"/>
      <c r="G850" s="17"/>
    </row>
    <row r="851" spans="6:7">
      <c r="F851" s="17"/>
      <c r="G851" s="17"/>
    </row>
    <row r="852" spans="6:7">
      <c r="F852" s="17"/>
      <c r="G852" s="17"/>
    </row>
    <row r="853" spans="6:7">
      <c r="F853" s="17"/>
      <c r="G853" s="17"/>
    </row>
    <row r="854" spans="6:7">
      <c r="F854" s="17"/>
      <c r="G854" s="17"/>
    </row>
    <row r="855" spans="6:7">
      <c r="F855" s="17"/>
      <c r="G855" s="17"/>
    </row>
    <row r="856" spans="6:7">
      <c r="F856" s="17"/>
      <c r="G856" s="17"/>
    </row>
    <row r="857" spans="6:7">
      <c r="F857" s="17"/>
      <c r="G857" s="17"/>
    </row>
    <row r="858" spans="6:7">
      <c r="F858" s="17"/>
      <c r="G858" s="17"/>
    </row>
    <row r="859" spans="6:7">
      <c r="F859" s="17"/>
      <c r="G859" s="17"/>
    </row>
    <row r="860" spans="6:7">
      <c r="F860" s="17"/>
      <c r="G860" s="17"/>
    </row>
    <row r="861" spans="6:7">
      <c r="F861" s="17"/>
      <c r="G861" s="17"/>
    </row>
    <row r="862" spans="6:7">
      <c r="F862" s="17"/>
      <c r="G862" s="17"/>
    </row>
    <row r="863" spans="6:7">
      <c r="F863" s="17"/>
      <c r="G863" s="17"/>
    </row>
    <row r="864" spans="6:7">
      <c r="F864" s="17"/>
      <c r="G864" s="17"/>
    </row>
    <row r="865" spans="6:7">
      <c r="F865" s="17"/>
      <c r="G865" s="17"/>
    </row>
    <row r="866" spans="6:7">
      <c r="F866" s="17"/>
      <c r="G866" s="17"/>
    </row>
    <row r="867" spans="6:7">
      <c r="F867" s="17"/>
      <c r="G867" s="17"/>
    </row>
    <row r="868" spans="6:7">
      <c r="F868" s="17"/>
      <c r="G868" s="17"/>
    </row>
    <row r="869" spans="6:7">
      <c r="F869" s="17"/>
      <c r="G869" s="17"/>
    </row>
    <row r="870" spans="6:7">
      <c r="F870" s="17"/>
      <c r="G870" s="17"/>
    </row>
    <row r="871" spans="6:7">
      <c r="F871" s="17"/>
      <c r="G871" s="17"/>
    </row>
    <row r="872" spans="6:7">
      <c r="F872" s="17"/>
      <c r="G872" s="17"/>
    </row>
    <row r="873" spans="6:7">
      <c r="F873" s="17"/>
      <c r="G873" s="17"/>
    </row>
    <row r="874" spans="6:7">
      <c r="F874" s="17"/>
      <c r="G874" s="17"/>
    </row>
    <row r="875" spans="6:7">
      <c r="F875" s="17"/>
      <c r="G875" s="17"/>
    </row>
    <row r="876" spans="6:7">
      <c r="F876" s="17"/>
      <c r="G876" s="17"/>
    </row>
    <row r="877" spans="6:7">
      <c r="F877" s="17"/>
      <c r="G877" s="17"/>
    </row>
    <row r="878" spans="6:7">
      <c r="F878" s="17"/>
      <c r="G878" s="17"/>
    </row>
    <row r="879" spans="6:7">
      <c r="F879" s="17"/>
      <c r="G879" s="17"/>
    </row>
    <row r="880" spans="6:7">
      <c r="F880" s="17"/>
      <c r="G880" s="17"/>
    </row>
    <row r="881" spans="6:7">
      <c r="F881" s="17"/>
      <c r="G881" s="17"/>
    </row>
    <row r="882" spans="6:7">
      <c r="F882" s="17"/>
      <c r="G882" s="17"/>
    </row>
    <row r="883" spans="6:7">
      <c r="F883" s="17"/>
      <c r="G883" s="17"/>
    </row>
    <row r="884" spans="6:7">
      <c r="F884" s="17"/>
      <c r="G884" s="17"/>
    </row>
    <row r="885" spans="6:7">
      <c r="F885" s="17"/>
      <c r="G885" s="17"/>
    </row>
    <row r="886" spans="6:7">
      <c r="F886" s="17"/>
      <c r="G886" s="17"/>
    </row>
    <row r="887" spans="6:7">
      <c r="F887" s="17"/>
      <c r="G887" s="17"/>
    </row>
    <row r="888" spans="6:7">
      <c r="F888" s="17"/>
      <c r="G888" s="17"/>
    </row>
    <row r="889" spans="6:7">
      <c r="F889" s="17"/>
      <c r="G889" s="17"/>
    </row>
    <row r="890" spans="6:7">
      <c r="F890" s="17"/>
      <c r="G890" s="17"/>
    </row>
    <row r="891" spans="6:7">
      <c r="F891" s="17"/>
      <c r="G891" s="17"/>
    </row>
    <row r="892" spans="6:7">
      <c r="F892" s="17"/>
      <c r="G892" s="17"/>
    </row>
    <row r="893" spans="6:7">
      <c r="F893" s="17"/>
      <c r="G893" s="17"/>
    </row>
    <row r="894" spans="6:7">
      <c r="F894" s="17"/>
      <c r="G894" s="17"/>
    </row>
    <row r="895" spans="6:7">
      <c r="F895" s="17"/>
      <c r="G895" s="17"/>
    </row>
    <row r="896" spans="6:7">
      <c r="F896" s="17"/>
      <c r="G896" s="17"/>
    </row>
    <row r="897" spans="6:7">
      <c r="F897" s="17"/>
      <c r="G897" s="17"/>
    </row>
    <row r="898" spans="6:7">
      <c r="F898" s="17"/>
      <c r="G898" s="17"/>
    </row>
    <row r="899" spans="6:7">
      <c r="F899" s="17"/>
      <c r="G899" s="17"/>
    </row>
    <row r="900" spans="6:7">
      <c r="F900" s="17"/>
      <c r="G900" s="17"/>
    </row>
    <row r="901" spans="6:7">
      <c r="F901" s="17"/>
      <c r="G901" s="17"/>
    </row>
    <row r="902" spans="6:7">
      <c r="F902" s="17"/>
      <c r="G902" s="17"/>
    </row>
    <row r="903" spans="6:7">
      <c r="F903" s="17"/>
      <c r="G903" s="17"/>
    </row>
    <row r="904" spans="6:7">
      <c r="F904" s="17"/>
      <c r="G904" s="17"/>
    </row>
    <row r="905" spans="6:7">
      <c r="F905" s="17"/>
      <c r="G905" s="17"/>
    </row>
    <row r="906" spans="6:7">
      <c r="F906" s="17"/>
      <c r="G906" s="17"/>
    </row>
    <row r="907" spans="6:7">
      <c r="F907" s="17"/>
      <c r="G907" s="17"/>
    </row>
    <row r="908" spans="6:7">
      <c r="F908" s="17"/>
      <c r="G908" s="17"/>
    </row>
    <row r="909" spans="6:7">
      <c r="F909" s="17"/>
      <c r="G909" s="17"/>
    </row>
    <row r="910" spans="6:7">
      <c r="F910" s="17"/>
      <c r="G910" s="17"/>
    </row>
    <row r="911" spans="6:7">
      <c r="F911" s="17"/>
      <c r="G911" s="17"/>
    </row>
    <row r="912" spans="6:7">
      <c r="F912" s="17"/>
      <c r="G912" s="17"/>
    </row>
    <row r="913" spans="6:7">
      <c r="F913" s="17"/>
      <c r="G913" s="17"/>
    </row>
    <row r="914" spans="6:7">
      <c r="F914" s="17"/>
      <c r="G914" s="17"/>
    </row>
    <row r="915" spans="6:7">
      <c r="F915" s="17"/>
      <c r="G915" s="17"/>
    </row>
    <row r="916" spans="6:7">
      <c r="F916" s="17"/>
      <c r="G916" s="17"/>
    </row>
    <row r="917" spans="6:7">
      <c r="F917" s="17"/>
      <c r="G917" s="17"/>
    </row>
    <row r="918" spans="6:7">
      <c r="F918" s="17"/>
      <c r="G918" s="17"/>
    </row>
    <row r="919" spans="6:7">
      <c r="F919" s="17"/>
      <c r="G919" s="17"/>
    </row>
    <row r="920" spans="6:7">
      <c r="F920" s="17"/>
      <c r="G920" s="17"/>
    </row>
    <row r="921" spans="6:7">
      <c r="F921" s="17"/>
      <c r="G921" s="17"/>
    </row>
    <row r="922" spans="6:7">
      <c r="F922" s="17"/>
      <c r="G922" s="17"/>
    </row>
    <row r="923" spans="6:7">
      <c r="F923" s="17"/>
      <c r="G923" s="17"/>
    </row>
    <row r="924" spans="6:7">
      <c r="F924" s="17"/>
      <c r="G924" s="17"/>
    </row>
    <row r="925" spans="6:7">
      <c r="F925" s="17"/>
      <c r="G925" s="17"/>
    </row>
    <row r="926" spans="6:7">
      <c r="F926" s="17"/>
      <c r="G926" s="17"/>
    </row>
    <row r="927" spans="6:7">
      <c r="F927" s="17"/>
      <c r="G927" s="17"/>
    </row>
    <row r="928" spans="6:7">
      <c r="F928" s="17"/>
      <c r="G928" s="17"/>
    </row>
    <row r="929" spans="6:7">
      <c r="F929" s="17"/>
      <c r="G929" s="17"/>
    </row>
    <row r="930" spans="6:7">
      <c r="F930" s="17"/>
      <c r="G930" s="17"/>
    </row>
    <row r="931" spans="6:7">
      <c r="F931" s="17"/>
      <c r="G931" s="17"/>
    </row>
    <row r="932" spans="6:7">
      <c r="F932" s="17"/>
      <c r="G932" s="17"/>
    </row>
    <row r="933" spans="6:7">
      <c r="F933" s="17"/>
      <c r="G933" s="17"/>
    </row>
    <row r="934" spans="6:7">
      <c r="F934" s="17"/>
      <c r="G934" s="17"/>
    </row>
    <row r="935" spans="6:7">
      <c r="F935" s="17"/>
      <c r="G935" s="17"/>
    </row>
    <row r="936" spans="6:7">
      <c r="F936" s="17"/>
      <c r="G936" s="17"/>
    </row>
    <row r="937" spans="6:7">
      <c r="F937" s="17"/>
      <c r="G937" s="17"/>
    </row>
    <row r="938" spans="6:7">
      <c r="F938" s="17"/>
      <c r="G938" s="17"/>
    </row>
    <row r="939" spans="6:7">
      <c r="F939" s="17"/>
      <c r="G939" s="17"/>
    </row>
    <row r="940" spans="6:7">
      <c r="F940" s="17"/>
      <c r="G940" s="17"/>
    </row>
    <row r="941" spans="6:7">
      <c r="F941" s="17"/>
      <c r="G941" s="17"/>
    </row>
    <row r="942" spans="6:7">
      <c r="F942" s="17"/>
      <c r="G942" s="17"/>
    </row>
    <row r="943" spans="6:7">
      <c r="F943" s="17"/>
      <c r="G943" s="17"/>
    </row>
    <row r="944" spans="6:7">
      <c r="F944" s="17"/>
      <c r="G944" s="17"/>
    </row>
    <row r="945" spans="6:7">
      <c r="F945" s="17"/>
      <c r="G945" s="17"/>
    </row>
    <row r="946" spans="6:7">
      <c r="F946" s="17"/>
      <c r="G946" s="17"/>
    </row>
    <row r="947" spans="6:7">
      <c r="F947" s="17"/>
      <c r="G947" s="17"/>
    </row>
    <row r="948" spans="6:7">
      <c r="F948" s="17"/>
      <c r="G948" s="17"/>
    </row>
    <row r="949" spans="6:7">
      <c r="F949" s="17"/>
      <c r="G949" s="17"/>
    </row>
    <row r="950" spans="6:7">
      <c r="F950" s="17"/>
      <c r="G950" s="17"/>
    </row>
    <row r="951" spans="6:7">
      <c r="F951" s="17"/>
      <c r="G951" s="17"/>
    </row>
    <row r="952" spans="6:7">
      <c r="F952" s="17"/>
      <c r="G952" s="17"/>
    </row>
    <row r="953" spans="6:7">
      <c r="F953" s="17"/>
      <c r="G953" s="17"/>
    </row>
    <row r="954" spans="6:7">
      <c r="F954" s="17"/>
      <c r="G954" s="17"/>
    </row>
    <row r="955" spans="6:7">
      <c r="F955" s="17"/>
      <c r="G955" s="17"/>
    </row>
    <row r="956" spans="6:7">
      <c r="F956" s="17"/>
      <c r="G956" s="17"/>
    </row>
    <row r="957" spans="6:7">
      <c r="F957" s="17"/>
      <c r="G957" s="17"/>
    </row>
    <row r="958" spans="6:7">
      <c r="F958" s="17"/>
      <c r="G958" s="17"/>
    </row>
    <row r="959" spans="6:7">
      <c r="F959" s="17"/>
      <c r="G959" s="17"/>
    </row>
    <row r="960" spans="6:7">
      <c r="F960" s="17"/>
      <c r="G960" s="17"/>
    </row>
    <row r="961" spans="6:7">
      <c r="F961" s="17"/>
      <c r="G961" s="17"/>
    </row>
    <row r="962" spans="6:7">
      <c r="F962" s="17"/>
      <c r="G962" s="17"/>
    </row>
    <row r="963" spans="6:7">
      <c r="F963" s="17"/>
      <c r="G963" s="17"/>
    </row>
    <row r="964" spans="6:7">
      <c r="F964" s="17"/>
      <c r="G964" s="17"/>
    </row>
    <row r="965" spans="6:7">
      <c r="F965" s="17"/>
      <c r="G965" s="17"/>
    </row>
    <row r="966" spans="6:7">
      <c r="F966" s="17"/>
      <c r="G966" s="17"/>
    </row>
    <row r="967" spans="6:7">
      <c r="F967" s="17"/>
      <c r="G967" s="17"/>
    </row>
    <row r="968" spans="6:7">
      <c r="F968" s="17"/>
      <c r="G968" s="17"/>
    </row>
    <row r="969" spans="6:7">
      <c r="F969" s="17"/>
      <c r="G969" s="17"/>
    </row>
    <row r="970" spans="6:7">
      <c r="F970" s="17"/>
      <c r="G970" s="17"/>
    </row>
    <row r="971" spans="6:7">
      <c r="F971" s="17"/>
      <c r="G971" s="17"/>
    </row>
    <row r="972" spans="6:7">
      <c r="F972" s="17"/>
      <c r="G972" s="17"/>
    </row>
    <row r="973" spans="6:7">
      <c r="F973" s="17"/>
      <c r="G973" s="17"/>
    </row>
    <row r="974" spans="6:7">
      <c r="F974" s="17"/>
      <c r="G974" s="17"/>
    </row>
    <row r="975" spans="6:7">
      <c r="F975" s="17"/>
      <c r="G975" s="17"/>
    </row>
    <row r="976" spans="6:7">
      <c r="F976" s="17"/>
      <c r="G976" s="17"/>
    </row>
    <row r="977" spans="6:7">
      <c r="F977" s="17"/>
      <c r="G977" s="17"/>
    </row>
    <row r="978" spans="6:7">
      <c r="F978" s="17"/>
      <c r="G978" s="17"/>
    </row>
    <row r="979" spans="6:7">
      <c r="F979" s="17"/>
      <c r="G979" s="17"/>
    </row>
    <row r="980" spans="6:7">
      <c r="F980" s="17"/>
      <c r="G980" s="17"/>
    </row>
    <row r="981" spans="6:7">
      <c r="F981" s="17"/>
      <c r="G981" s="17"/>
    </row>
    <row r="982" spans="6:7">
      <c r="F982" s="17"/>
      <c r="G982" s="17"/>
    </row>
    <row r="983" spans="6:7">
      <c r="F983" s="17"/>
      <c r="G983" s="17"/>
    </row>
    <row r="984" spans="6:7">
      <c r="F984" s="17"/>
      <c r="G984" s="17"/>
    </row>
    <row r="985" spans="6:7">
      <c r="F985" s="17"/>
      <c r="G985" s="17"/>
    </row>
    <row r="986" spans="6:7">
      <c r="F986" s="17"/>
      <c r="G986" s="17"/>
    </row>
    <row r="987" spans="6:7">
      <c r="F987" s="17"/>
      <c r="G987" s="17"/>
    </row>
    <row r="988" spans="6:7">
      <c r="F988" s="17"/>
      <c r="G988" s="17"/>
    </row>
    <row r="989" spans="6:7">
      <c r="F989" s="17"/>
      <c r="G989" s="17"/>
    </row>
    <row r="990" spans="6:7">
      <c r="F990" s="17"/>
      <c r="G990" s="17"/>
    </row>
    <row r="991" spans="6:7">
      <c r="F991" s="17"/>
      <c r="G991" s="17"/>
    </row>
    <row r="992" spans="6:7">
      <c r="F992" s="17"/>
      <c r="G992" s="17"/>
    </row>
    <row r="993" spans="6:7">
      <c r="F993" s="17"/>
      <c r="G993" s="17"/>
    </row>
    <row r="994" spans="6:7">
      <c r="F994" s="17"/>
      <c r="G994" s="17"/>
    </row>
    <row r="995" spans="6:7">
      <c r="F995" s="17"/>
      <c r="G995" s="17"/>
    </row>
    <row r="996" spans="6:7">
      <c r="F996" s="17"/>
      <c r="G996" s="17"/>
    </row>
    <row r="997" spans="6:7">
      <c r="F997" s="17"/>
      <c r="G997" s="17"/>
    </row>
    <row r="998" spans="6:7">
      <c r="F998" s="17"/>
      <c r="G998" s="17"/>
    </row>
  </sheetData>
  <mergeCells count="1">
    <mergeCell ref="A1:S1"/>
  </mergeCells>
  <dataValidations count="4">
    <dataValidation prompt="Select an OCI Region." sqref="L2:N4" xr:uid="{1E46C41F-6262-7448-8DA8-92CFFA998264}"/>
    <dataValidation showInputMessage="1" showErrorMessage="1" prompt="Select an OCI Region." sqref="L1:N1 L5:N1048576" xr:uid="{9D79D58B-5C8E-8F4C-B869-381A3AF9A9BE}"/>
    <dataValidation allowBlank="1" prompt="Select an OCI Region." sqref="I5:I1048576 O1:XFD1 A2 Q5:Q1048576 Q2 D5:E1048576 D2:I2 O3:P1048576 J2:K1048576 R2:XFD1048576 A1:K1" xr:uid="{CAF04EC2-946A-3446-84D0-EA50102CA3F4}"/>
    <dataValidation allowBlank="1" sqref="B2" xr:uid="{641C78C6-B1C0-AF42-9F74-CEE2D1F3801A}"/>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E23C-F15A-8649-ADB9-6B0FFE9380CD}">
  <dimension ref="A1:M108"/>
  <sheetViews>
    <sheetView workbookViewId="0">
      <selection activeCell="L2" sqref="L2"/>
    </sheetView>
  </sheetViews>
  <sheetFormatPr baseColWidth="10" defaultColWidth="8.83203125" defaultRowHeight="15"/>
  <cols>
    <col min="1" max="1" width="15.5" bestFit="1" customWidth="1"/>
    <col min="2" max="2" width="42" bestFit="1" customWidth="1"/>
    <col min="3" max="3" width="9.83203125" bestFit="1" customWidth="1"/>
    <col min="4" max="4" width="18.1640625" customWidth="1"/>
    <col min="5" max="5" width="18.1640625" bestFit="1" customWidth="1"/>
    <col min="6" max="6" width="25.1640625" bestFit="1" customWidth="1"/>
    <col min="7" max="7" width="13.83203125" customWidth="1"/>
    <col min="8" max="8" width="15.83203125" customWidth="1"/>
    <col min="9" max="10" width="11.5" style="1" customWidth="1"/>
    <col min="11" max="11" width="10.83203125" bestFit="1" customWidth="1"/>
    <col min="12" max="12" width="12.5" bestFit="1" customWidth="1"/>
    <col min="13" max="13" width="37.33203125" bestFit="1" customWidth="1"/>
  </cols>
  <sheetData>
    <row r="1" spans="1:13" ht="32">
      <c r="A1" s="39" t="s">
        <v>211</v>
      </c>
      <c r="B1" s="39" t="s">
        <v>176</v>
      </c>
      <c r="C1" s="40" t="s">
        <v>212</v>
      </c>
      <c r="D1" s="40" t="s">
        <v>213</v>
      </c>
      <c r="E1" s="39" t="s">
        <v>214</v>
      </c>
      <c r="F1" s="41" t="s">
        <v>179</v>
      </c>
      <c r="G1" s="41" t="s">
        <v>96</v>
      </c>
      <c r="H1" s="41" t="s">
        <v>95</v>
      </c>
      <c r="I1" s="42" t="s">
        <v>177</v>
      </c>
      <c r="J1" s="42" t="s">
        <v>178</v>
      </c>
      <c r="K1" s="41" t="s">
        <v>175</v>
      </c>
      <c r="L1" s="40" t="s">
        <v>215</v>
      </c>
      <c r="M1" s="40" t="s">
        <v>398</v>
      </c>
    </row>
    <row r="2" spans="1:13" ht="16">
      <c r="A2" s="43" t="s">
        <v>216</v>
      </c>
      <c r="B2" s="22" t="s">
        <v>217</v>
      </c>
      <c r="C2" s="18" t="s">
        <v>218</v>
      </c>
      <c r="D2" s="18" t="s">
        <v>99</v>
      </c>
      <c r="E2" s="18" t="s">
        <v>219</v>
      </c>
      <c r="F2" s="22" t="s">
        <v>97</v>
      </c>
      <c r="G2" s="44" t="s">
        <v>101</v>
      </c>
      <c r="H2" s="18" t="s">
        <v>100</v>
      </c>
      <c r="I2" s="17">
        <v>80</v>
      </c>
      <c r="J2" s="17" t="s">
        <v>220</v>
      </c>
      <c r="K2" s="18">
        <v>1</v>
      </c>
      <c r="L2" t="s">
        <v>94</v>
      </c>
      <c r="M2" s="17" t="s">
        <v>399</v>
      </c>
    </row>
    <row r="3" spans="1:13" ht="16">
      <c r="A3" s="43" t="s">
        <v>221</v>
      </c>
      <c r="B3" s="18" t="s">
        <v>112</v>
      </c>
      <c r="C3" s="18" t="s">
        <v>222</v>
      </c>
      <c r="D3" s="18" t="s">
        <v>223</v>
      </c>
      <c r="E3" s="18" t="s">
        <v>224</v>
      </c>
      <c r="F3" s="18" t="s">
        <v>225</v>
      </c>
      <c r="G3" s="44" t="s">
        <v>226</v>
      </c>
      <c r="H3" s="18" t="s">
        <v>227</v>
      </c>
      <c r="I3" s="17">
        <v>40</v>
      </c>
      <c r="J3" s="17" t="s">
        <v>228</v>
      </c>
      <c r="K3" s="18">
        <v>2</v>
      </c>
      <c r="L3" t="s">
        <v>93</v>
      </c>
      <c r="M3" s="17" t="s">
        <v>396</v>
      </c>
    </row>
    <row r="4" spans="1:13" ht="16">
      <c r="A4" s="43" t="s">
        <v>229</v>
      </c>
      <c r="B4" s="18" t="s">
        <v>104</v>
      </c>
      <c r="C4" s="18" t="s">
        <v>230</v>
      </c>
      <c r="D4" s="18"/>
      <c r="E4" s="18" t="s">
        <v>231</v>
      </c>
      <c r="F4" s="18"/>
      <c r="H4" s="2" t="s">
        <v>232</v>
      </c>
      <c r="L4" t="s">
        <v>233</v>
      </c>
      <c r="M4" s="17" t="s">
        <v>397</v>
      </c>
    </row>
    <row r="5" spans="1:13" ht="16">
      <c r="A5" s="43" t="s">
        <v>102</v>
      </c>
      <c r="B5" s="18" t="s">
        <v>234</v>
      </c>
      <c r="C5" s="18" t="s">
        <v>235</v>
      </c>
      <c r="D5" s="18"/>
      <c r="E5" s="18" t="s">
        <v>236</v>
      </c>
      <c r="F5" s="18"/>
      <c r="H5" s="18" t="s">
        <v>237</v>
      </c>
      <c r="L5" t="s">
        <v>238</v>
      </c>
      <c r="M5" s="17" t="s">
        <v>384</v>
      </c>
    </row>
    <row r="6" spans="1:13" ht="16">
      <c r="A6" s="43" t="s">
        <v>239</v>
      </c>
      <c r="B6" s="18"/>
      <c r="C6" s="18" t="s">
        <v>240</v>
      </c>
      <c r="D6" s="18"/>
      <c r="E6" s="18" t="s">
        <v>241</v>
      </c>
      <c r="F6" s="18"/>
      <c r="H6" s="18" t="s">
        <v>242</v>
      </c>
      <c r="M6" s="17" t="s">
        <v>400</v>
      </c>
    </row>
    <row r="7" spans="1:13" ht="16">
      <c r="A7" s="43" t="s">
        <v>243</v>
      </c>
      <c r="B7" s="18"/>
      <c r="C7" s="18" t="s">
        <v>244</v>
      </c>
      <c r="D7" s="18"/>
      <c r="E7" s="18" t="s">
        <v>245</v>
      </c>
      <c r="F7" s="18"/>
      <c r="H7" s="18" t="s">
        <v>246</v>
      </c>
      <c r="M7" s="17" t="s">
        <v>385</v>
      </c>
    </row>
    <row r="8" spans="1:13" ht="16">
      <c r="A8" s="43" t="s">
        <v>247</v>
      </c>
      <c r="B8" s="18"/>
      <c r="C8" s="18" t="s">
        <v>248</v>
      </c>
      <c r="D8" s="18"/>
      <c r="E8" s="18" t="s">
        <v>249</v>
      </c>
      <c r="F8" s="18"/>
      <c r="H8" s="18" t="s">
        <v>250</v>
      </c>
      <c r="M8" s="17" t="s">
        <v>401</v>
      </c>
    </row>
    <row r="9" spans="1:13" ht="16">
      <c r="A9" s="43" t="s">
        <v>251</v>
      </c>
      <c r="B9" s="18"/>
      <c r="C9" s="18" t="s">
        <v>111</v>
      </c>
      <c r="D9" s="18"/>
      <c r="E9" s="18" t="s">
        <v>252</v>
      </c>
      <c r="F9" s="18"/>
      <c r="H9" s="18" t="s">
        <v>253</v>
      </c>
      <c r="M9" s="17" t="s">
        <v>402</v>
      </c>
    </row>
    <row r="10" spans="1:13" ht="16">
      <c r="A10" s="43" t="s">
        <v>254</v>
      </c>
      <c r="B10" s="18"/>
      <c r="C10" s="18" t="s">
        <v>255</v>
      </c>
      <c r="D10" s="18"/>
      <c r="E10" s="18" t="s">
        <v>256</v>
      </c>
      <c r="F10" s="18"/>
      <c r="H10" s="18" t="s">
        <v>257</v>
      </c>
      <c r="M10" s="17" t="s">
        <v>403</v>
      </c>
    </row>
    <row r="11" spans="1:13" ht="16">
      <c r="A11" s="43" t="s">
        <v>258</v>
      </c>
      <c r="B11" s="18"/>
      <c r="C11" s="18" t="s">
        <v>259</v>
      </c>
      <c r="D11" s="18"/>
      <c r="E11" s="18" t="s">
        <v>260</v>
      </c>
      <c r="F11" s="18"/>
      <c r="H11" s="18" t="s">
        <v>261</v>
      </c>
      <c r="M11" s="17" t="s">
        <v>404</v>
      </c>
    </row>
    <row r="12" spans="1:13" ht="16">
      <c r="A12" s="43" t="s">
        <v>262</v>
      </c>
      <c r="B12" s="18"/>
      <c r="C12" s="18" t="s">
        <v>263</v>
      </c>
      <c r="D12" s="18"/>
      <c r="E12" s="18" t="s">
        <v>264</v>
      </c>
      <c r="F12" s="18"/>
      <c r="H12" s="18" t="s">
        <v>265</v>
      </c>
      <c r="M12" s="17" t="s">
        <v>405</v>
      </c>
    </row>
    <row r="13" spans="1:13" ht="16">
      <c r="A13" s="43" t="s">
        <v>266</v>
      </c>
      <c r="B13" s="18"/>
      <c r="C13" s="18" t="s">
        <v>267</v>
      </c>
      <c r="D13" s="18"/>
      <c r="E13" s="18" t="s">
        <v>268</v>
      </c>
      <c r="F13" s="18"/>
      <c r="H13" s="18" t="s">
        <v>269</v>
      </c>
      <c r="M13" s="17" t="s">
        <v>406</v>
      </c>
    </row>
    <row r="14" spans="1:13" ht="16">
      <c r="A14" s="43" t="s">
        <v>103</v>
      </c>
      <c r="B14" s="18"/>
      <c r="C14" s="18" t="s">
        <v>270</v>
      </c>
      <c r="D14" s="18"/>
      <c r="E14" s="18"/>
      <c r="F14" s="18"/>
      <c r="H14" s="18" t="s">
        <v>271</v>
      </c>
      <c r="M14" s="17" t="s">
        <v>407</v>
      </c>
    </row>
    <row r="15" spans="1:13" ht="16">
      <c r="H15" s="18" t="s">
        <v>272</v>
      </c>
      <c r="M15" s="17" t="s">
        <v>408</v>
      </c>
    </row>
    <row r="16" spans="1:13" ht="16">
      <c r="H16" s="18" t="s">
        <v>273</v>
      </c>
      <c r="M16" s="17" t="s">
        <v>409</v>
      </c>
    </row>
    <row r="17" spans="8:13" ht="16">
      <c r="H17" s="18" t="s">
        <v>274</v>
      </c>
      <c r="M17" s="17" t="s">
        <v>410</v>
      </c>
    </row>
    <row r="18" spans="8:13" ht="16">
      <c r="H18" s="18" t="s">
        <v>275</v>
      </c>
      <c r="M18" s="17" t="s">
        <v>386</v>
      </c>
    </row>
    <row r="19" spans="8:13" ht="16">
      <c r="H19" s="18" t="s">
        <v>276</v>
      </c>
      <c r="M19" s="17" t="s">
        <v>411</v>
      </c>
    </row>
    <row r="20" spans="8:13" ht="16">
      <c r="H20" s="18" t="s">
        <v>277</v>
      </c>
      <c r="M20" s="17" t="s">
        <v>412</v>
      </c>
    </row>
    <row r="21" spans="8:13" ht="16">
      <c r="H21" s="18" t="s">
        <v>278</v>
      </c>
      <c r="M21" s="17" t="s">
        <v>387</v>
      </c>
    </row>
    <row r="22" spans="8:13" ht="16">
      <c r="H22" s="18" t="s">
        <v>279</v>
      </c>
      <c r="M22" s="17" t="s">
        <v>388</v>
      </c>
    </row>
    <row r="23" spans="8:13" ht="16">
      <c r="H23" s="18" t="s">
        <v>280</v>
      </c>
      <c r="M23" s="17" t="s">
        <v>413</v>
      </c>
    </row>
    <row r="24" spans="8:13" ht="16">
      <c r="H24" s="18" t="s">
        <v>281</v>
      </c>
      <c r="M24" s="17" t="s">
        <v>414</v>
      </c>
    </row>
    <row r="25" spans="8:13" ht="16">
      <c r="H25" s="18" t="s">
        <v>282</v>
      </c>
      <c r="M25" s="17" t="s">
        <v>415</v>
      </c>
    </row>
    <row r="26" spans="8:13" ht="16">
      <c r="H26" s="18" t="s">
        <v>283</v>
      </c>
      <c r="M26" s="17" t="s">
        <v>416</v>
      </c>
    </row>
    <row r="27" spans="8:13" ht="16">
      <c r="H27" s="18" t="s">
        <v>284</v>
      </c>
      <c r="M27" s="17" t="s">
        <v>417</v>
      </c>
    </row>
    <row r="28" spans="8:13" ht="16">
      <c r="H28" s="18" t="s">
        <v>285</v>
      </c>
      <c r="M28" s="17" t="s">
        <v>418</v>
      </c>
    </row>
    <row r="29" spans="8:13" ht="16">
      <c r="H29" s="18" t="s">
        <v>286</v>
      </c>
      <c r="M29" s="17" t="s">
        <v>389</v>
      </c>
    </row>
    <row r="30" spans="8:13" ht="16">
      <c r="H30" s="18" t="s">
        <v>287</v>
      </c>
      <c r="M30" s="17" t="s">
        <v>419</v>
      </c>
    </row>
    <row r="31" spans="8:13" ht="16">
      <c r="H31" s="18" t="s">
        <v>288</v>
      </c>
      <c r="M31" s="17" t="s">
        <v>420</v>
      </c>
    </row>
    <row r="32" spans="8:13" ht="16">
      <c r="H32" s="18" t="s">
        <v>289</v>
      </c>
      <c r="M32" s="17" t="s">
        <v>421</v>
      </c>
    </row>
    <row r="33" spans="8:13" ht="16">
      <c r="H33" s="18" t="s">
        <v>290</v>
      </c>
      <c r="M33" s="17" t="s">
        <v>422</v>
      </c>
    </row>
    <row r="34" spans="8:13" ht="16">
      <c r="H34" s="18" t="s">
        <v>291</v>
      </c>
      <c r="M34" s="17" t="s">
        <v>390</v>
      </c>
    </row>
    <row r="35" spans="8:13" ht="16">
      <c r="H35" s="18" t="s">
        <v>292</v>
      </c>
      <c r="M35" s="17" t="s">
        <v>423</v>
      </c>
    </row>
    <row r="36" spans="8:13" ht="16">
      <c r="H36" s="18" t="s">
        <v>293</v>
      </c>
      <c r="M36" s="17" t="s">
        <v>424</v>
      </c>
    </row>
    <row r="37" spans="8:13" ht="16">
      <c r="H37" s="18" t="s">
        <v>294</v>
      </c>
      <c r="M37" s="17" t="s">
        <v>425</v>
      </c>
    </row>
    <row r="38" spans="8:13" ht="16">
      <c r="H38" s="18" t="s">
        <v>295</v>
      </c>
      <c r="M38" s="17" t="s">
        <v>391</v>
      </c>
    </row>
    <row r="39" spans="8:13" ht="16">
      <c r="H39" s="18" t="s">
        <v>296</v>
      </c>
      <c r="M39" s="17" t="s">
        <v>392</v>
      </c>
    </row>
    <row r="40" spans="8:13" ht="16">
      <c r="H40" s="18" t="s">
        <v>297</v>
      </c>
      <c r="M40" s="17" t="s">
        <v>426</v>
      </c>
    </row>
    <row r="41" spans="8:13" ht="16">
      <c r="H41" s="18" t="s">
        <v>298</v>
      </c>
      <c r="M41" s="17" t="s">
        <v>393</v>
      </c>
    </row>
    <row r="42" spans="8:13" ht="16">
      <c r="H42" s="18" t="s">
        <v>299</v>
      </c>
      <c r="M42" s="17" t="s">
        <v>427</v>
      </c>
    </row>
    <row r="43" spans="8:13" ht="16">
      <c r="H43" s="18" t="s">
        <v>300</v>
      </c>
      <c r="M43" s="17" t="s">
        <v>394</v>
      </c>
    </row>
    <row r="44" spans="8:13" ht="16">
      <c r="H44" s="18" t="s">
        <v>301</v>
      </c>
      <c r="M44" s="17" t="s">
        <v>428</v>
      </c>
    </row>
    <row r="45" spans="8:13" ht="16">
      <c r="H45" s="18" t="s">
        <v>302</v>
      </c>
      <c r="M45" s="17" t="s">
        <v>429</v>
      </c>
    </row>
    <row r="46" spans="8:13" ht="16">
      <c r="H46" s="18" t="s">
        <v>303</v>
      </c>
      <c r="M46" s="17" t="s">
        <v>430</v>
      </c>
    </row>
    <row r="47" spans="8:13" ht="16">
      <c r="H47" s="18" t="s">
        <v>304</v>
      </c>
      <c r="M47" s="17" t="s">
        <v>431</v>
      </c>
    </row>
    <row r="48" spans="8:13" ht="16">
      <c r="H48" s="18" t="s">
        <v>305</v>
      </c>
      <c r="M48" s="17" t="s">
        <v>432</v>
      </c>
    </row>
    <row r="49" spans="8:13" ht="16">
      <c r="H49" s="18" t="s">
        <v>306</v>
      </c>
      <c r="M49" s="17" t="s">
        <v>433</v>
      </c>
    </row>
    <row r="50" spans="8:13" ht="16">
      <c r="H50" s="18" t="s">
        <v>307</v>
      </c>
      <c r="M50" s="17" t="s">
        <v>434</v>
      </c>
    </row>
    <row r="51" spans="8:13" ht="16">
      <c r="H51" s="18" t="s">
        <v>308</v>
      </c>
      <c r="M51" s="17" t="s">
        <v>435</v>
      </c>
    </row>
    <row r="52" spans="8:13" ht="16">
      <c r="H52" s="18" t="s">
        <v>309</v>
      </c>
      <c r="M52" s="17" t="s">
        <v>436</v>
      </c>
    </row>
    <row r="53" spans="8:13" ht="16">
      <c r="H53" s="18" t="s">
        <v>310</v>
      </c>
      <c r="M53" s="17" t="s">
        <v>437</v>
      </c>
    </row>
    <row r="54" spans="8:13" ht="16">
      <c r="H54" s="18" t="s">
        <v>311</v>
      </c>
      <c r="M54" s="17" t="s">
        <v>438</v>
      </c>
    </row>
    <row r="55" spans="8:13" ht="16">
      <c r="H55" s="18" t="s">
        <v>312</v>
      </c>
      <c r="M55" s="17" t="s">
        <v>439</v>
      </c>
    </row>
    <row r="56" spans="8:13" ht="16">
      <c r="H56" s="18" t="s">
        <v>313</v>
      </c>
      <c r="M56" s="17" t="s">
        <v>440</v>
      </c>
    </row>
    <row r="57" spans="8:13" ht="16">
      <c r="H57" s="18" t="s">
        <v>314</v>
      </c>
      <c r="M57" s="17" t="s">
        <v>441</v>
      </c>
    </row>
    <row r="58" spans="8:13" ht="16">
      <c r="H58" s="18" t="s">
        <v>315</v>
      </c>
      <c r="M58" s="17" t="s">
        <v>442</v>
      </c>
    </row>
    <row r="59" spans="8:13" ht="16">
      <c r="H59" s="18" t="s">
        <v>316</v>
      </c>
      <c r="M59" s="17" t="s">
        <v>443</v>
      </c>
    </row>
    <row r="60" spans="8:13" ht="16">
      <c r="H60" s="18" t="s">
        <v>317</v>
      </c>
      <c r="M60" s="17" t="s">
        <v>444</v>
      </c>
    </row>
    <row r="61" spans="8:13" ht="16">
      <c r="H61" s="18" t="s">
        <v>318</v>
      </c>
      <c r="M61" s="17" t="s">
        <v>445</v>
      </c>
    </row>
    <row r="62" spans="8:13" ht="16">
      <c r="H62" s="18" t="s">
        <v>319</v>
      </c>
      <c r="M62" s="17" t="s">
        <v>446</v>
      </c>
    </row>
    <row r="63" spans="8:13" ht="16">
      <c r="H63" s="18" t="s">
        <v>320</v>
      </c>
      <c r="M63" s="17" t="s">
        <v>447</v>
      </c>
    </row>
    <row r="64" spans="8:13" ht="16">
      <c r="H64" s="18" t="s">
        <v>321</v>
      </c>
      <c r="M64" s="17" t="s">
        <v>448</v>
      </c>
    </row>
    <row r="65" spans="8:13" ht="16">
      <c r="H65" s="18" t="s">
        <v>322</v>
      </c>
      <c r="M65" s="17" t="s">
        <v>449</v>
      </c>
    </row>
    <row r="66" spans="8:13" ht="16">
      <c r="H66" s="18" t="s">
        <v>323</v>
      </c>
      <c r="M66" s="17" t="s">
        <v>450</v>
      </c>
    </row>
    <row r="67" spans="8:13" ht="16">
      <c r="H67" s="18" t="s">
        <v>324</v>
      </c>
      <c r="M67" s="17" t="s">
        <v>451</v>
      </c>
    </row>
    <row r="68" spans="8:13" ht="16">
      <c r="H68" s="18" t="s">
        <v>325</v>
      </c>
      <c r="M68" s="17" t="s">
        <v>452</v>
      </c>
    </row>
    <row r="69" spans="8:13" ht="16">
      <c r="H69" s="18" t="s">
        <v>326</v>
      </c>
      <c r="M69" s="17" t="s">
        <v>453</v>
      </c>
    </row>
    <row r="70" spans="8:13" ht="16">
      <c r="H70" s="18" t="s">
        <v>327</v>
      </c>
      <c r="M70" s="17" t="s">
        <v>454</v>
      </c>
    </row>
    <row r="71" spans="8:13" ht="16">
      <c r="H71" s="18" t="s">
        <v>328</v>
      </c>
      <c r="M71" s="17" t="s">
        <v>395</v>
      </c>
    </row>
    <row r="72" spans="8:13" ht="16">
      <c r="H72" s="18" t="s">
        <v>329</v>
      </c>
      <c r="M72" s="17" t="s">
        <v>455</v>
      </c>
    </row>
    <row r="73" spans="8:13" ht="16">
      <c r="H73" s="18" t="s">
        <v>330</v>
      </c>
      <c r="M73" s="17" t="s">
        <v>456</v>
      </c>
    </row>
    <row r="74" spans="8:13" ht="16">
      <c r="H74" s="18" t="s">
        <v>331</v>
      </c>
      <c r="M74" s="17" t="s">
        <v>457</v>
      </c>
    </row>
    <row r="75" spans="8:13">
      <c r="H75" s="18" t="s">
        <v>332</v>
      </c>
    </row>
    <row r="76" spans="8:13">
      <c r="H76" s="18" t="s">
        <v>333</v>
      </c>
    </row>
    <row r="77" spans="8:13">
      <c r="H77" s="18" t="s">
        <v>334</v>
      </c>
    </row>
    <row r="78" spans="8:13">
      <c r="H78" s="18" t="s">
        <v>335</v>
      </c>
    </row>
    <row r="79" spans="8:13">
      <c r="H79" s="18" t="s">
        <v>336</v>
      </c>
    </row>
    <row r="80" spans="8:13">
      <c r="H80" s="18" t="s">
        <v>337</v>
      </c>
    </row>
    <row r="81" spans="8:8">
      <c r="H81" s="18" t="s">
        <v>338</v>
      </c>
    </row>
    <row r="82" spans="8:8">
      <c r="H82" s="18" t="s">
        <v>339</v>
      </c>
    </row>
    <row r="83" spans="8:8">
      <c r="H83" s="18" t="s">
        <v>226</v>
      </c>
    </row>
    <row r="84" spans="8:8">
      <c r="H84" s="18" t="s">
        <v>340</v>
      </c>
    </row>
    <row r="85" spans="8:8">
      <c r="H85" s="18" t="s">
        <v>341</v>
      </c>
    </row>
    <row r="86" spans="8:8">
      <c r="H86" s="18" t="s">
        <v>342</v>
      </c>
    </row>
    <row r="87" spans="8:8">
      <c r="H87" s="18" t="s">
        <v>343</v>
      </c>
    </row>
    <row r="88" spans="8:8">
      <c r="H88" s="18" t="s">
        <v>344</v>
      </c>
    </row>
    <row r="89" spans="8:8">
      <c r="H89" s="18" t="s">
        <v>345</v>
      </c>
    </row>
    <row r="90" spans="8:8">
      <c r="H90" s="18" t="s">
        <v>346</v>
      </c>
    </row>
    <row r="91" spans="8:8">
      <c r="H91" s="18" t="s">
        <v>347</v>
      </c>
    </row>
    <row r="92" spans="8:8">
      <c r="H92" s="18" t="s">
        <v>348</v>
      </c>
    </row>
    <row r="93" spans="8:8">
      <c r="H93" s="18" t="s">
        <v>349</v>
      </c>
    </row>
    <row r="94" spans="8:8">
      <c r="H94" s="18" t="s">
        <v>350</v>
      </c>
    </row>
    <row r="95" spans="8:8">
      <c r="H95" s="18" t="s">
        <v>351</v>
      </c>
    </row>
    <row r="96" spans="8:8">
      <c r="H96" s="18" t="s">
        <v>352</v>
      </c>
    </row>
    <row r="97" spans="8:8">
      <c r="H97" s="18" t="s">
        <v>353</v>
      </c>
    </row>
    <row r="98" spans="8:8">
      <c r="H98" s="18" t="s">
        <v>354</v>
      </c>
    </row>
    <row r="99" spans="8:8">
      <c r="H99" s="18" t="s">
        <v>355</v>
      </c>
    </row>
    <row r="100" spans="8:8">
      <c r="H100" s="18" t="s">
        <v>356</v>
      </c>
    </row>
    <row r="101" spans="8:8">
      <c r="H101" s="18" t="s">
        <v>357</v>
      </c>
    </row>
    <row r="102" spans="8:8">
      <c r="H102" s="18" t="s">
        <v>358</v>
      </c>
    </row>
    <row r="103" spans="8:8">
      <c r="H103" s="18" t="s">
        <v>359</v>
      </c>
    </row>
    <row r="104" spans="8:8">
      <c r="H104" s="18" t="s">
        <v>360</v>
      </c>
    </row>
    <row r="105" spans="8:8">
      <c r="H105" s="18" t="s">
        <v>361</v>
      </c>
    </row>
    <row r="106" spans="8:8">
      <c r="H106" s="18" t="s">
        <v>362</v>
      </c>
    </row>
    <row r="107" spans="8:8">
      <c r="H107" s="18" t="s">
        <v>363</v>
      </c>
    </row>
    <row r="108" spans="8:8">
      <c r="H108" s="18" t="s">
        <v>364</v>
      </c>
    </row>
  </sheetData>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41"/>
  <sheetViews>
    <sheetView workbookViewId="0">
      <selection activeCell="D16" sqref="D16"/>
    </sheetView>
  </sheetViews>
  <sheetFormatPr baseColWidth="10" defaultColWidth="8.83203125" defaultRowHeight="28.75" customHeight="1"/>
  <cols>
    <col min="1" max="1" width="35.5" customWidth="1"/>
    <col min="2" max="2" width="35.1640625" customWidth="1"/>
    <col min="3" max="3" width="19.1640625" style="1" customWidth="1"/>
    <col min="4" max="4" width="26.83203125" customWidth="1"/>
    <col min="5" max="5" width="17.5" customWidth="1"/>
    <col min="6" max="6" width="17.83203125" customWidth="1"/>
  </cols>
  <sheetData>
    <row r="1" spans="1:6" ht="28.75" customHeight="1">
      <c r="A1" s="4" t="s">
        <v>49</v>
      </c>
      <c r="B1" s="3" t="s">
        <v>50</v>
      </c>
      <c r="C1" s="8" t="s">
        <v>51</v>
      </c>
      <c r="D1" s="13" t="s">
        <v>52</v>
      </c>
      <c r="E1" s="8" t="s">
        <v>53</v>
      </c>
      <c r="F1" s="12" t="s">
        <v>54</v>
      </c>
    </row>
    <row r="2" spans="1:6" ht="28.75" customHeight="1">
      <c r="A2" s="5" t="s">
        <v>42</v>
      </c>
      <c r="B2" s="16" t="s">
        <v>55</v>
      </c>
      <c r="C2" s="14" t="s">
        <v>39</v>
      </c>
      <c r="D2" s="15" t="s">
        <v>38</v>
      </c>
      <c r="E2" s="11">
        <v>301</v>
      </c>
      <c r="F2" s="11">
        <v>8</v>
      </c>
    </row>
    <row r="3" spans="1:6" ht="28.75" customHeight="1">
      <c r="A3" s="5" t="s">
        <v>44</v>
      </c>
      <c r="B3" s="16" t="s">
        <v>56</v>
      </c>
      <c r="C3" s="9" t="s">
        <v>48</v>
      </c>
      <c r="D3" t="s">
        <v>36</v>
      </c>
      <c r="E3" s="16">
        <v>302</v>
      </c>
      <c r="F3" s="16">
        <v>16</v>
      </c>
    </row>
    <row r="4" spans="1:6" ht="28.75" customHeight="1">
      <c r="A4" s="5" t="s">
        <v>35</v>
      </c>
      <c r="B4" s="16" t="s">
        <v>57</v>
      </c>
      <c r="C4" s="9" t="s">
        <v>40</v>
      </c>
      <c r="D4" t="s">
        <v>58</v>
      </c>
      <c r="E4" s="16">
        <v>303</v>
      </c>
      <c r="F4" s="16">
        <v>32</v>
      </c>
    </row>
    <row r="5" spans="1:6" ht="28.75" customHeight="1">
      <c r="A5" s="5" t="s">
        <v>28</v>
      </c>
      <c r="B5" s="16" t="s">
        <v>59</v>
      </c>
      <c r="C5" s="9" t="s">
        <v>47</v>
      </c>
      <c r="D5" s="21"/>
      <c r="E5" s="16">
        <v>307</v>
      </c>
      <c r="F5" s="16">
        <v>64</v>
      </c>
    </row>
    <row r="6" spans="1:6" ht="28.75" customHeight="1">
      <c r="A6" s="5" t="s">
        <v>41</v>
      </c>
      <c r="B6" s="16" t="s">
        <v>60</v>
      </c>
      <c r="C6" s="10"/>
      <c r="E6" s="16">
        <v>308</v>
      </c>
      <c r="F6" s="2"/>
    </row>
    <row r="7" spans="1:6" ht="28.75" customHeight="1">
      <c r="A7" s="5" t="s">
        <v>46</v>
      </c>
      <c r="B7" s="16" t="s">
        <v>61</v>
      </c>
      <c r="E7" s="2"/>
    </row>
    <row r="8" spans="1:6" ht="28.75" customHeight="1">
      <c r="A8" s="5" t="s">
        <v>34</v>
      </c>
      <c r="B8" s="16" t="s">
        <v>33</v>
      </c>
    </row>
    <row r="9" spans="1:6" ht="28.75" customHeight="1">
      <c r="A9" s="5" t="s">
        <v>37</v>
      </c>
      <c r="B9" s="16" t="s">
        <v>29</v>
      </c>
    </row>
    <row r="10" spans="1:6" ht="28.75" customHeight="1">
      <c r="A10" s="5" t="s">
        <v>43</v>
      </c>
      <c r="B10" s="16" t="s">
        <v>62</v>
      </c>
    </row>
    <row r="11" spans="1:6" ht="28.75" customHeight="1">
      <c r="A11" s="5" t="s">
        <v>45</v>
      </c>
      <c r="B11" s="16" t="s">
        <v>63</v>
      </c>
    </row>
    <row r="12" spans="1:6" ht="28.75" customHeight="1">
      <c r="A12" s="6"/>
      <c r="B12" s="16" t="s">
        <v>64</v>
      </c>
    </row>
    <row r="13" spans="1:6" ht="28.75" customHeight="1">
      <c r="B13" s="16" t="s">
        <v>65</v>
      </c>
    </row>
    <row r="14" spans="1:6" ht="28.75" customHeight="1">
      <c r="B14" s="16" t="s">
        <v>66</v>
      </c>
    </row>
    <row r="15" spans="1:6" ht="28.75" customHeight="1">
      <c r="B15" s="16" t="s">
        <v>67</v>
      </c>
    </row>
    <row r="16" spans="1:6" ht="28.75" customHeight="1">
      <c r="B16" s="16" t="s">
        <v>68</v>
      </c>
    </row>
    <row r="17" spans="2:2" ht="28.75" customHeight="1">
      <c r="B17" s="16" t="s">
        <v>69</v>
      </c>
    </row>
    <row r="18" spans="2:2" ht="28.75" customHeight="1">
      <c r="B18" s="16" t="s">
        <v>70</v>
      </c>
    </row>
    <row r="19" spans="2:2" ht="28.75" customHeight="1">
      <c r="B19" s="16" t="s">
        <v>71</v>
      </c>
    </row>
    <row r="20" spans="2:2" ht="28.75" customHeight="1">
      <c r="B20" s="16" t="s">
        <v>72</v>
      </c>
    </row>
    <row r="21" spans="2:2" ht="28.75" customHeight="1">
      <c r="B21" s="16" t="s">
        <v>73</v>
      </c>
    </row>
    <row r="22" spans="2:2" ht="28.75" customHeight="1">
      <c r="B22" s="16" t="s">
        <v>74</v>
      </c>
    </row>
    <row r="23" spans="2:2" ht="28.75" customHeight="1">
      <c r="B23" s="16" t="s">
        <v>75</v>
      </c>
    </row>
    <row r="24" spans="2:2" ht="28.75" customHeight="1">
      <c r="B24" s="16" t="s">
        <v>76</v>
      </c>
    </row>
    <row r="25" spans="2:2" ht="28.75" customHeight="1">
      <c r="B25" s="16" t="s">
        <v>77</v>
      </c>
    </row>
    <row r="26" spans="2:2" ht="28.75" customHeight="1">
      <c r="B26" s="16" t="s">
        <v>78</v>
      </c>
    </row>
    <row r="27" spans="2:2" ht="28.75" customHeight="1">
      <c r="B27" s="16" t="s">
        <v>79</v>
      </c>
    </row>
    <row r="28" spans="2:2" ht="28.75" customHeight="1">
      <c r="B28" s="16" t="s">
        <v>80</v>
      </c>
    </row>
    <row r="29" spans="2:2" ht="28.75" customHeight="1">
      <c r="B29" s="16" t="s">
        <v>81</v>
      </c>
    </row>
    <row r="30" spans="2:2" ht="28.75" customHeight="1">
      <c r="B30" s="16" t="s">
        <v>82</v>
      </c>
    </row>
    <row r="31" spans="2:2" ht="28.75" customHeight="1">
      <c r="B31" s="16" t="s">
        <v>83</v>
      </c>
    </row>
    <row r="32" spans="2:2" ht="28.75" customHeight="1">
      <c r="B32" s="16" t="s">
        <v>84</v>
      </c>
    </row>
    <row r="33" spans="2:2" ht="28.75" customHeight="1">
      <c r="B33" s="16" t="s">
        <v>85</v>
      </c>
    </row>
    <row r="34" spans="2:2" ht="28.75" customHeight="1">
      <c r="B34" s="16" t="s">
        <v>32</v>
      </c>
    </row>
    <row r="35" spans="2:2" ht="28.75" customHeight="1">
      <c r="B35" s="16" t="s">
        <v>86</v>
      </c>
    </row>
    <row r="36" spans="2:2" ht="28.75" customHeight="1">
      <c r="B36" s="16" t="s">
        <v>30</v>
      </c>
    </row>
    <row r="37" spans="2:2" ht="28.75" customHeight="1">
      <c r="B37" s="16" t="s">
        <v>87</v>
      </c>
    </row>
    <row r="38" spans="2:2" ht="28.75" customHeight="1">
      <c r="B38" s="16" t="s">
        <v>31</v>
      </c>
    </row>
    <row r="39" spans="2:2" ht="28.75" customHeight="1">
      <c r="B39" s="16" t="s">
        <v>88</v>
      </c>
    </row>
    <row r="40" spans="2:2" ht="28.75" customHeight="1">
      <c r="B40" s="16" t="s">
        <v>89</v>
      </c>
    </row>
    <row r="41" spans="2:2" ht="28.75" customHeight="1">
      <c r="B41" s="2"/>
    </row>
  </sheetData>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V202"/>
  <sheetViews>
    <sheetView topLeftCell="I5" zoomScale="93" workbookViewId="0">
      <selection activeCell="I8" sqref="I8"/>
    </sheetView>
  </sheetViews>
  <sheetFormatPr baseColWidth="10" defaultColWidth="28.5" defaultRowHeight="15"/>
  <cols>
    <col min="1" max="1" width="7.5" style="34" bestFit="1" customWidth="1"/>
    <col min="2" max="2" width="16.5" style="34" bestFit="1" customWidth="1"/>
    <col min="3" max="4" width="20.1640625" style="34" customWidth="1"/>
    <col min="5" max="5" width="40.6640625" style="34" customWidth="1"/>
    <col min="6" max="10" width="28.5" style="34"/>
    <col min="11" max="11" width="33.83203125" style="34" customWidth="1"/>
    <col min="12" max="12" width="14.1640625" style="34" customWidth="1"/>
    <col min="13" max="13" width="20.5" style="34" bestFit="1" customWidth="1"/>
    <col min="14" max="14" width="27.5" style="34" bestFit="1" customWidth="1"/>
    <col min="15" max="15" width="13.5" style="34" bestFit="1" customWidth="1"/>
    <col min="16" max="16" width="13.5" style="34" customWidth="1"/>
    <col min="17" max="17" width="29.83203125" style="34" bestFit="1" customWidth="1"/>
    <col min="18" max="18" width="29.83203125" style="34" customWidth="1"/>
    <col min="19" max="19" width="9.5" style="34" bestFit="1" customWidth="1"/>
    <col min="20" max="20" width="9" style="34" bestFit="1" customWidth="1"/>
    <col min="21" max="21" width="11" style="34" bestFit="1" customWidth="1"/>
    <col min="22" max="22" width="18" style="34" bestFit="1" customWidth="1"/>
    <col min="23" max="25" width="18" style="34" customWidth="1"/>
    <col min="26" max="26" width="21.5" style="34" bestFit="1" customWidth="1"/>
    <col min="27" max="27" width="14.83203125" style="34" bestFit="1" customWidth="1"/>
    <col min="28" max="28" width="13.5" style="34" bestFit="1" customWidth="1"/>
    <col min="29" max="29" width="9.83203125" style="34" bestFit="1" customWidth="1"/>
    <col min="30" max="30" width="18" style="34" bestFit="1" customWidth="1"/>
    <col min="31" max="31" width="11.1640625" style="34" bestFit="1" customWidth="1"/>
    <col min="32" max="32" width="22.5" style="34" bestFit="1" customWidth="1"/>
    <col min="33" max="33" width="30.1640625" style="34" customWidth="1"/>
    <col min="34" max="34" width="15.5" style="34" bestFit="1" customWidth="1"/>
    <col min="35" max="35" width="44.5" style="34" bestFit="1" customWidth="1"/>
    <col min="36" max="36" width="22.1640625" style="34" bestFit="1" customWidth="1"/>
    <col min="37" max="37" width="30.5" style="34" bestFit="1" customWidth="1"/>
    <col min="38" max="38" width="28.1640625" style="34" bestFit="1" customWidth="1"/>
    <col min="39" max="39" width="16.1640625" style="34" bestFit="1" customWidth="1"/>
    <col min="40" max="40" width="13.1640625" style="34" bestFit="1" customWidth="1"/>
    <col min="41" max="41" width="17.1640625" style="34" bestFit="1" customWidth="1"/>
    <col min="42" max="42" width="12.5" style="34" bestFit="1" customWidth="1"/>
    <col min="43" max="46" width="28.5" style="34"/>
    <col min="47" max="47" width="33.5" style="34" customWidth="1"/>
    <col min="48" max="16384" width="28.5" style="34"/>
  </cols>
  <sheetData>
    <row r="1" spans="1:48" s="27" customFormat="1" ht="148" customHeight="1">
      <c r="A1" s="35" t="s">
        <v>116</v>
      </c>
      <c r="B1" s="35" t="s">
        <v>117</v>
      </c>
      <c r="C1" s="35" t="s">
        <v>118</v>
      </c>
      <c r="D1" s="35" t="s">
        <v>373</v>
      </c>
      <c r="E1" s="35"/>
      <c r="F1" s="35" t="s">
        <v>367</v>
      </c>
      <c r="G1" s="35" t="s">
        <v>368</v>
      </c>
      <c r="H1" s="35" t="s">
        <v>369</v>
      </c>
      <c r="I1" s="35" t="s">
        <v>370</v>
      </c>
      <c r="J1" s="35" t="s">
        <v>371</v>
      </c>
      <c r="K1" s="35" t="s">
        <v>120</v>
      </c>
      <c r="L1" s="35" t="s">
        <v>0</v>
      </c>
      <c r="M1" s="35" t="s">
        <v>121</v>
      </c>
      <c r="N1" s="35" t="s">
        <v>122</v>
      </c>
      <c r="O1" s="35" t="s">
        <v>123</v>
      </c>
      <c r="P1" s="35" t="s">
        <v>124</v>
      </c>
      <c r="Q1" s="35" t="s">
        <v>125</v>
      </c>
      <c r="R1" s="35" t="s">
        <v>171</v>
      </c>
      <c r="S1" s="35" t="s">
        <v>126</v>
      </c>
      <c r="T1" s="35" t="s">
        <v>127</v>
      </c>
      <c r="U1" s="35" t="s">
        <v>128</v>
      </c>
      <c r="V1" s="35" t="s">
        <v>129</v>
      </c>
      <c r="W1" s="35" t="s">
        <v>130</v>
      </c>
      <c r="X1" s="35" t="s">
        <v>131</v>
      </c>
      <c r="Y1" s="35" t="s">
        <v>173</v>
      </c>
      <c r="Z1" s="35" t="s">
        <v>132</v>
      </c>
      <c r="AA1" s="26" t="s">
        <v>133</v>
      </c>
      <c r="AB1" s="26" t="s">
        <v>134</v>
      </c>
      <c r="AC1" s="26" t="s">
        <v>135</v>
      </c>
      <c r="AD1" s="35" t="s">
        <v>172</v>
      </c>
      <c r="AE1" s="26" t="s">
        <v>14</v>
      </c>
      <c r="AF1" s="26" t="s">
        <v>136</v>
      </c>
      <c r="AG1" s="26" t="s">
        <v>137</v>
      </c>
      <c r="AH1" s="26" t="s">
        <v>138</v>
      </c>
      <c r="AI1" s="26" t="s">
        <v>49</v>
      </c>
      <c r="AJ1" s="26" t="s">
        <v>50</v>
      </c>
      <c r="AK1" s="26" t="s">
        <v>51</v>
      </c>
      <c r="AL1" s="26" t="s">
        <v>52</v>
      </c>
      <c r="AM1" s="26" t="s">
        <v>53</v>
      </c>
      <c r="AN1" s="26" t="s">
        <v>54</v>
      </c>
      <c r="AO1" s="26" t="s">
        <v>139</v>
      </c>
      <c r="AP1" s="26" t="s">
        <v>91</v>
      </c>
      <c r="AQ1" s="26" t="s">
        <v>187</v>
      </c>
      <c r="AR1" s="26" t="s">
        <v>188</v>
      </c>
      <c r="AS1" s="26" t="s">
        <v>189</v>
      </c>
      <c r="AT1" s="26" t="s">
        <v>374</v>
      </c>
      <c r="AU1" s="26" t="s">
        <v>119</v>
      </c>
      <c r="AV1" s="26" t="s">
        <v>370</v>
      </c>
    </row>
    <row r="2" spans="1:48" s="28" customFormat="1" ht="16">
      <c r="A2" s="28">
        <v>3</v>
      </c>
      <c r="B2" s="28" t="e" cm="1">
        <f t="array" aca="1" ref="B2" ca="1">IF(COUNTIF(INDIRECT(ADDRESS(3,1,1,1,"VCNS")&amp;":"&amp;ADDRESS(A2,18,4,1)),"*END*")&gt;0,"","VCN"&amp;"::"&amp;INDIRECT(ADDRESS(A2,3,4,1,"VCNS")))</f>
        <v>#REF!</v>
      </c>
      <c r="C2" s="28" t="e" cm="1">
        <f t="array" aca="1" ref="C2" ca="1">IF(COUNTIF(INDIRECT(ADDRESS(3,1,1,1,"VCNS")&amp;":"&amp;ADDRESS(A2,1,4,1)),"*END*")&gt;0,"",INDIRECT(ADDRESS(A2,3,4,1,"VCNS")))</f>
        <v>#REF!</v>
      </c>
      <c r="D2" s="28" t="e" cm="1">
        <f t="array" aca="1" ref="D2" ca="1">_xlfn.UNIQUE(INDIRECT("C2:C"&amp;$G$5),FALSE,FALSE)</f>
        <v>#REF!</v>
      </c>
      <c r="E2" s="28" t="e" cm="1">
        <f t="array" aca="1" ref="E2" ca="1">_xlfn.IFNA(IF($H2 + 1 &gt; $G$2, "", INDEX(INDIRECT("SubnetsVLANs!$B$" &amp; $H2 + 2 &amp; ":$B$" &amp; $G$2) &amp; "@" &amp; INDIRECT("SubnetsVLANs!$C$" &amp; $H2 + 2 &amp; ":$C$" &amp; $G$2) &amp; "::" &amp; INDIRECT("SubnetsVLANs!$D$" &amp; $H2 + 2 &amp; ":$D$" &amp; $G$2), MATCH("Subnet*", INDIRECT("SubnetsVLANs!$E$" &amp; $H2 + 2 &amp; ":$E$" &amp; $G$2), 0))), "")</f>
        <v>#REF!</v>
      </c>
      <c r="F2" s="18" t="e">
        <f ca="1">_xlfn.IFNA(IF($H2+1&gt;$G$2,"",INDEX(INDIRECT("SubnetsVLANs!$D$"&amp;$H2+2&amp;":$D$"&amp;$G$2),MATCH("vlan*",INDIRECT("SubnetsVLANs!$E$"&amp;$H2+2&amp;":$E$"&amp;$G$2),0))),"")</f>
        <v>#REF!</v>
      </c>
      <c r="G2" s="18" t="e">
        <f>MATCH("&lt;END&gt;",#REF!,0)</f>
        <v>#REF!</v>
      </c>
      <c r="H2" s="19">
        <v>1</v>
      </c>
      <c r="I2" s="18" t="e" cm="1">
        <f t="array" aca="1" ref="I2" ca="1">_xlfn.UNIQUE(INDIRECT("E2:E"&amp;$G$2),FALSE,FALSE)</f>
        <v>#REF!</v>
      </c>
      <c r="J2" s="18" t="e" cm="1">
        <f t="array" aca="1" ref="J2" ca="1">_xlfn.UNIQUE(INDIRECT("F2:F"&amp;$G$2),FALSE,FALSE)</f>
        <v>#REF!</v>
      </c>
      <c r="K2" s="29" t="s">
        <v>3</v>
      </c>
      <c r="L2" s="46" t="s">
        <v>377</v>
      </c>
      <c r="M2" s="29" t="s">
        <v>6</v>
      </c>
      <c r="N2" s="29" t="s">
        <v>7</v>
      </c>
      <c r="O2" s="29" t="s">
        <v>10</v>
      </c>
      <c r="P2" s="29" t="e" cm="1">
        <f t="array" aca="1" ref="P2" ca="1">IF(COUNTIF(INDIRECT(ADDRESS(3,1,1,1,"DHCP")&amp;":"&amp;ADDRESS(A2,1,4,1)),"*END*")&gt;0,"",INDIRECT(ADDRESS(A2,4,4,1,"DHCP")))</f>
        <v>#REF!</v>
      </c>
      <c r="Q2" s="29" t="s">
        <v>4</v>
      </c>
      <c r="R2" s="29" t="e" cm="1">
        <f t="array" aca="1" ref="R2" ca="1">IF(COUNTIF(INDIRECT(ADDRESS(3,1,1,1,"DRGs")&amp;":"&amp;ADDRESS(A2,1,4,1)),"*END*")&gt;0,"",INDIRECT(ADDRESS(A2,3,4,1,"DRGs")))</f>
        <v>#REF!</v>
      </c>
      <c r="S2" s="29" t="s">
        <v>114</v>
      </c>
      <c r="T2" s="29" t="s">
        <v>11</v>
      </c>
      <c r="U2" s="30" t="s">
        <v>141</v>
      </c>
      <c r="V2" s="29" t="s">
        <v>105</v>
      </c>
      <c r="W2" s="29" t="s">
        <v>9</v>
      </c>
      <c r="X2" s="29" t="s">
        <v>108</v>
      </c>
      <c r="Y2" s="29" t="e" cm="1">
        <f t="array" aca="1" ref="Y2" ca="1">IF(COUNTIF(INDIRECT(ADDRESS(3,1,1,1,"DedicatedVMHosts")&amp;":"&amp;ADDRESS(A2,1,4,1)),"*END*")&gt;0,"",INDIRECT(ADDRESS(A2,3,4,1,"DedicatedVMHosts")))</f>
        <v>#REF!</v>
      </c>
      <c r="Z2" s="29" t="e" cm="1">
        <f t="array" aca="1" ref="Z2" ca="1">IF(COUNTIF(INDIRECT(ADDRESS(3,1,1,1,"instances")&amp;":"&amp;ADDRESS(A2,1,4,1)),"*END*")&gt;0,"",INDIRECT(ADDRESS(A2,4,4,1,"instances")))</f>
        <v>#REF!</v>
      </c>
      <c r="AA2" s="29" t="s">
        <v>142</v>
      </c>
      <c r="AB2" s="29" t="s">
        <v>21</v>
      </c>
      <c r="AC2" s="29" t="s">
        <v>143</v>
      </c>
      <c r="AD2" s="29" t="b">
        <v>1</v>
      </c>
      <c r="AE2" s="29" t="s">
        <v>22</v>
      </c>
      <c r="AF2" s="29" t="s">
        <v>144</v>
      </c>
      <c r="AG2" s="29" t="s">
        <v>25</v>
      </c>
      <c r="AH2" s="29" t="s">
        <v>4</v>
      </c>
      <c r="AI2" s="29" t="s">
        <v>42</v>
      </c>
      <c r="AJ2" s="29" t="s">
        <v>55</v>
      </c>
      <c r="AK2" s="31" t="s">
        <v>39</v>
      </c>
      <c r="AL2" s="29" t="s">
        <v>38</v>
      </c>
      <c r="AM2" s="29">
        <v>301</v>
      </c>
      <c r="AN2" s="29">
        <v>8</v>
      </c>
      <c r="AO2" s="29" t="s">
        <v>25</v>
      </c>
      <c r="AP2" s="28" t="s">
        <v>93</v>
      </c>
      <c r="AQ2" s="28" t="s">
        <v>186</v>
      </c>
      <c r="AR2" s="28" t="b">
        <v>0</v>
      </c>
      <c r="AS2" s="28" t="s">
        <v>185</v>
      </c>
      <c r="AT2" s="28" t="e" cm="1">
        <f t="array" aca="1" ref="AT2" ca="1">_xlfn.UNIQUE(INDIRECT("B2:B"&amp;$G$5),FALSE,FALSE)</f>
        <v>#REF!</v>
      </c>
      <c r="AU2" s="45" t="e">
        <f ca="1">_xlfn.IFNA(IF($H2+1&gt;$G$2,"",INDEX(INDIRECT("SubnetsVLANs!$D$"&amp;$H2+2&amp;":$D$"&amp;$G$2),MATCH("Subnet*",INDIRECT("SubnetsVLANs!$E$"&amp;$H2+2&amp;":$E$"&amp;$G$2),0))),"")</f>
        <v>#REF!</v>
      </c>
      <c r="AV2" s="28" t="e" cm="1">
        <f t="array" aca="1" ref="AV2" ca="1">_xlfn.UNIQUE(INDIRECT("AU2:AU"&amp;$G$2),FALSE,FALSE)</f>
        <v>#REF!</v>
      </c>
    </row>
    <row r="3" spans="1:48" s="28" customFormat="1" ht="28">
      <c r="A3" s="28">
        <v>4</v>
      </c>
      <c r="B3" s="28" t="e" cm="1">
        <f t="array" aca="1" ref="B3" ca="1">IF(COUNTIF(INDIRECT(ADDRESS(3,1,1,1,"VCNS")&amp;":"&amp;ADDRESS(A3,18,4,1)),"*END*")&gt;0,"","VCN"&amp;"::"&amp;INDIRECT(ADDRESS(A3,3,4,1,"VCNS")))</f>
        <v>#REF!</v>
      </c>
      <c r="C3" s="28" t="e" cm="1">
        <f t="array" aca="1" ref="C3" ca="1">IF(COUNTIF(INDIRECT(ADDRESS(3,1,1,1,"VCNS")&amp;":"&amp;ADDRESS(A3,1,4,1)),"*END*")&gt;0,"",INDIRECT(ADDRESS(A3,3,4,1,"VCNS")))</f>
        <v>#REF!</v>
      </c>
      <c r="E3" s="28" t="e" cm="1">
        <f t="array" aca="1" ref="E3" ca="1">_xlfn.IFNA(IF($H3 + 1 &gt; $G$2, "", INDEX(INDIRECT("SubnetsVLANs!$B$" &amp; $H3 + 2 &amp; ":$B$" &amp; $G$2) &amp; "@" &amp; INDIRECT("SubnetsVLANs!$C$" &amp; $H3 + 2 &amp; ":$C$" &amp; $G$2) &amp; "::" &amp; INDIRECT("SubnetsVLANs!$D$" &amp; $H3 + 2 &amp; ":$D$" &amp; $G$2), MATCH("Subnet*", INDIRECT("SubnetsVLANs!$E$" &amp; $H3 + 2 &amp; ":$E$" &amp; $G$2), 0))), "")</f>
        <v>#REF!</v>
      </c>
      <c r="F3" s="18" t="e">
        <f t="shared" ref="F3:F67" ca="1" si="0">_xlfn.IFNA(IF($H3+1&gt;$G$2,"",INDEX(INDIRECT("SubnetsVLANs!$D$"&amp;$H3+2&amp;":$D$"&amp;$G$2),MATCH("vlan*",INDIRECT("SubnetsVLANs!$E$"&amp;$H3+2&amp;":$E$"&amp;$G$2),0))),"")</f>
        <v>#REF!</v>
      </c>
      <c r="G3" s="18">
        <f ca="1">COUNTIF($I$2:$I$101,"*")</f>
        <v>0</v>
      </c>
      <c r="H3" s="19">
        <v>2</v>
      </c>
      <c r="I3" s="18"/>
      <c r="J3" s="18"/>
      <c r="K3" s="29" t="s">
        <v>4</v>
      </c>
      <c r="L3" s="18" t="s">
        <v>204</v>
      </c>
      <c r="M3" s="29" t="s">
        <v>5</v>
      </c>
      <c r="N3" s="29" t="s">
        <v>9</v>
      </c>
      <c r="O3" s="29" t="s">
        <v>113</v>
      </c>
      <c r="P3" s="29" t="e" cm="1">
        <f t="array" aca="1" ref="P3" ca="1">IF(COUNTIF(INDIRECT(ADDRESS(3,1,1,1,"DHCP")&amp;":"&amp;ADDRESS(A3,1,4,1)),"*END*")&gt;0,"",INDIRECT(ADDRESS(A3,4,4,1,"DHCP")))</f>
        <v>#REF!</v>
      </c>
      <c r="Q3" s="29" t="s">
        <v>8</v>
      </c>
      <c r="R3" s="29" t="e" cm="1">
        <f t="array" aca="1" ref="R3" ca="1">IF(COUNTIF(INDIRECT(ADDRESS(3,1,1,1,"DRGs")&amp;":"&amp;ADDRESS(A3,1,4,1)),"*END*")&gt;0,"",INDIRECT(ADDRESS(A3,3,4,1,"DRGs")))</f>
        <v>#REF!</v>
      </c>
      <c r="S3" s="29" t="s">
        <v>115</v>
      </c>
      <c r="T3" s="29" t="s">
        <v>107</v>
      </c>
      <c r="U3" s="30" t="s">
        <v>12</v>
      </c>
      <c r="V3" s="29" t="s">
        <v>18</v>
      </c>
      <c r="W3" s="29" t="s">
        <v>15</v>
      </c>
      <c r="X3" s="29" t="s">
        <v>145</v>
      </c>
      <c r="Y3" s="29" t="e" cm="1">
        <f t="array" aca="1" ref="Y3" ca="1">IF(COUNTIF(INDIRECT(ADDRESS(3,1,1,1,"DedicatedVMHosts")&amp;":"&amp;ADDRESS(A3,1,4,1)),"*END*")&gt;0,"",INDIRECT(ADDRESS(A3,3,4,1,"DedicatedVMHosts")))</f>
        <v>#REF!</v>
      </c>
      <c r="Z3" s="29" t="e" cm="1">
        <f t="array" aca="1" ref="Z3" ca="1">IF(COUNTIF(INDIRECT(ADDRESS(3,1,1,1,"instances")&amp;":"&amp;ADDRESS(A3,1,4,1)),"*END*")&gt;0,"",INDIRECT(ADDRESS(A3,4,4,1,"instances")))</f>
        <v>#REF!</v>
      </c>
      <c r="AA3" s="29" t="s">
        <v>19</v>
      </c>
      <c r="AB3" s="29" t="s">
        <v>20</v>
      </c>
      <c r="AC3" s="29" t="s">
        <v>146</v>
      </c>
      <c r="AD3" s="29" t="b">
        <v>0</v>
      </c>
      <c r="AE3" s="29" t="s">
        <v>23</v>
      </c>
      <c r="AF3" s="29" t="s">
        <v>24</v>
      </c>
      <c r="AG3" s="29" t="s">
        <v>147</v>
      </c>
      <c r="AH3" s="29" t="s">
        <v>26</v>
      </c>
      <c r="AI3" s="29" t="s">
        <v>44</v>
      </c>
      <c r="AJ3" s="29" t="s">
        <v>56</v>
      </c>
      <c r="AK3" s="31" t="s">
        <v>48</v>
      </c>
      <c r="AL3" s="29" t="s">
        <v>36</v>
      </c>
      <c r="AM3" s="29">
        <v>302</v>
      </c>
      <c r="AN3" s="29">
        <v>16</v>
      </c>
      <c r="AO3" s="29" t="s">
        <v>147</v>
      </c>
      <c r="AP3" s="28" t="s">
        <v>94</v>
      </c>
      <c r="AQ3" s="28" t="s">
        <v>184</v>
      </c>
      <c r="AR3" s="28" t="b">
        <v>1</v>
      </c>
      <c r="AS3" s="28" t="s">
        <v>190</v>
      </c>
      <c r="AU3" s="45" t="e">
        <f t="shared" ref="AU3:AU67" ca="1" si="1">_xlfn.IFNA(IF($H3+1&gt;$G$2,"",INDEX(INDIRECT("SubnetsVLANs!$D$"&amp;$H3+2&amp;":$D$"&amp;$G$2),MATCH("Subnet*",INDIRECT("SubnetsVLANs!$E$"&amp;$H3+2&amp;":$E$"&amp;$G$2),0))),"")</f>
        <v>#REF!</v>
      </c>
    </row>
    <row r="4" spans="1:48" s="28" customFormat="1">
      <c r="A4" s="28">
        <v>5</v>
      </c>
      <c r="B4" s="28" t="e" cm="1">
        <f t="array" aca="1" ref="B4" ca="1">IF(COUNTIF(INDIRECT(ADDRESS(3,1,1,1,"VCNS")&amp;":"&amp;ADDRESS(A4,18,4,1)),"*END*")&gt;0,"","VCN"&amp;"::"&amp;INDIRECT(ADDRESS(A4,3,4,1,"VCNS")))</f>
        <v>#REF!</v>
      </c>
      <c r="C4" s="28" t="e" cm="1">
        <f t="array" aca="1" ref="C4" ca="1">IF(COUNTIF(INDIRECT(ADDRESS(3,1,1,1,"VCNS")&amp;":"&amp;ADDRESS(A4,1,4,1)),"*END*")&gt;0,"",INDIRECT(ADDRESS(A4,3,4,1,"VCNS")))</f>
        <v>#REF!</v>
      </c>
      <c r="E4" s="28" t="e" cm="1">
        <f t="array" aca="1" ref="E4" ca="1">_xlfn.IFNA(IF($H4 + 1 &gt; $G$2, "", INDEX(INDIRECT("SubnetsVLANs!$B$" &amp; $H4 + 2 &amp; ":$B$" &amp; $G$2) &amp; "@" &amp; INDIRECT("SubnetsVLANs!$C$" &amp; $H4 + 2 &amp; ":$C$" &amp; $G$2) &amp; "::" &amp; INDIRECT("SubnetsVLANs!$D$" &amp; $H4 + 2 &amp; ":$D$" &amp; $G$2), MATCH("Subnet*", INDIRECT("SubnetsVLANs!$E$" &amp; $H4 + 2 &amp; ":$E$" &amp; $G$2), 0))), "")</f>
        <v>#REF!</v>
      </c>
      <c r="F4" s="18" t="e">
        <f t="shared" ca="1" si="0"/>
        <v>#REF!</v>
      </c>
      <c r="G4" s="18">
        <f ca="1">COUNTIF($J$2:$J$101,"*")</f>
        <v>0</v>
      </c>
      <c r="H4" s="19">
        <v>3</v>
      </c>
      <c r="I4" s="18"/>
      <c r="J4" s="18"/>
      <c r="K4" s="29"/>
      <c r="L4" t="s">
        <v>140</v>
      </c>
      <c r="M4" s="29"/>
      <c r="N4" s="29" t="s">
        <v>15</v>
      </c>
      <c r="O4" s="29"/>
      <c r="P4" s="29" t="e" cm="1">
        <f t="array" aca="1" ref="P4" ca="1">IF(COUNTIF(INDIRECT(ADDRESS(3,1,1,1,"DHCP")&amp;":"&amp;ADDRESS(A4,1,4,1)),"*END*")&gt;0,"",INDIRECT(ADDRESS(A4,4,4,1,"DHCP")))</f>
        <v>#REF!</v>
      </c>
      <c r="Q4" s="29" t="s">
        <v>106</v>
      </c>
      <c r="R4" s="29" t="e" cm="1">
        <f t="array" aca="1" ref="R4" ca="1">IF(COUNTIF(INDIRECT(ADDRESS(3,1,1,1,"DRGs")&amp;":"&amp;ADDRESS(A4,1,4,1)),"*END*")&gt;0,"",INDIRECT(ADDRESS(A4,3,4,1,"DRGs")))</f>
        <v>#REF!</v>
      </c>
      <c r="S4" s="29"/>
      <c r="T4" s="29" t="s">
        <v>13</v>
      </c>
      <c r="U4" s="30"/>
      <c r="V4" s="29" t="s">
        <v>17</v>
      </c>
      <c r="W4" s="29" t="s">
        <v>16</v>
      </c>
      <c r="X4" s="29" t="s">
        <v>149</v>
      </c>
      <c r="Y4" s="29" t="e" cm="1">
        <f t="array" aca="1" ref="Y4" ca="1">IF(COUNTIF(INDIRECT(ADDRESS(3,1,1,1,"DedicatedVMHosts")&amp;":"&amp;ADDRESS(A4,1,4,1)),"*END*")&gt;0,"",INDIRECT(ADDRESS(A4,3,4,1,"DedicatedVMHosts")))</f>
        <v>#REF!</v>
      </c>
      <c r="Z4" s="29" t="e" cm="1">
        <f t="array" aca="1" ref="Z4" ca="1">IF(COUNTIF(INDIRECT(ADDRESS(3,1,1,1,"instances")&amp;":"&amp;ADDRESS(A4,1,4,1)),"*END*")&gt;0,"",INDIRECT(ADDRESS(A4,4,4,1,"instances")))</f>
        <v>#REF!</v>
      </c>
      <c r="AA4" s="29"/>
      <c r="AB4" s="29"/>
      <c r="AC4" s="29" t="s">
        <v>150</v>
      </c>
      <c r="AD4" s="29"/>
      <c r="AE4" s="29" t="s">
        <v>151</v>
      </c>
      <c r="AF4" s="29" t="s">
        <v>152</v>
      </c>
      <c r="AG4" s="29"/>
      <c r="AH4" s="29" t="s">
        <v>27</v>
      </c>
      <c r="AI4" s="29" t="s">
        <v>35</v>
      </c>
      <c r="AJ4" s="29" t="s">
        <v>57</v>
      </c>
      <c r="AK4" s="31" t="s">
        <v>40</v>
      </c>
      <c r="AL4" s="29" t="s">
        <v>58</v>
      </c>
      <c r="AM4" s="29">
        <v>303</v>
      </c>
      <c r="AN4" s="29">
        <v>32</v>
      </c>
      <c r="AS4" s="28" t="s">
        <v>183</v>
      </c>
      <c r="AU4" s="45" t="e">
        <f t="shared" ca="1" si="1"/>
        <v>#REF!</v>
      </c>
    </row>
    <row r="5" spans="1:48" s="28" customFormat="1">
      <c r="A5" s="28">
        <v>6</v>
      </c>
      <c r="B5" s="28" t="e" cm="1">
        <f t="array" aca="1" ref="B5" ca="1">IF(COUNTIF(INDIRECT(ADDRESS(3,1,1,1,"VCNS")&amp;":"&amp;ADDRESS(A5,18,4,1)),"*END*")&gt;0,"","VCN"&amp;"::"&amp;INDIRECT(ADDRESS(A5,3,4,1,"VCNS")))</f>
        <v>#REF!</v>
      </c>
      <c r="C5" s="28" t="e" cm="1">
        <f t="array" aca="1" ref="C5" ca="1">IF(COUNTIF(INDIRECT(ADDRESS(3,1,1,1,"VCNS")&amp;":"&amp;ADDRESS(A5,1,4,1)),"*END*")&gt;0,"",INDIRECT(ADDRESS(A5,3,4,1,"VCNS")))</f>
        <v>#REF!</v>
      </c>
      <c r="E5" s="28" t="e" cm="1">
        <f t="array" aca="1" ref="E5" ca="1">_xlfn.IFNA(IF($H5 + 1 &gt; $G$2, "", INDEX(INDIRECT("SubnetsVLANs!$B$" &amp; $H5 + 2 &amp; ":$B$" &amp; $G$2) &amp; "@" &amp; INDIRECT("SubnetsVLANs!$C$" &amp; $H5 + 2 &amp; ":$C$" &amp; $G$2) &amp; "::" &amp; INDIRECT("SubnetsVLANs!$D$" &amp; $H5 + 2 &amp; ":$D$" &amp; $G$2), MATCH("Subnet*", INDIRECT("SubnetsVLANs!$E$" &amp; $H5 + 2 &amp; ":$E$" &amp; $G$2), 0))), "")</f>
        <v>#REF!</v>
      </c>
      <c r="F5" s="18" t="e">
        <f t="shared" ca="1" si="0"/>
        <v>#REF!</v>
      </c>
      <c r="G5" s="18" t="e">
        <f>MATCH("&lt;END&gt;",#REF!,0)</f>
        <v>#REF!</v>
      </c>
      <c r="H5" s="19">
        <v>4</v>
      </c>
      <c r="I5" s="18"/>
      <c r="J5" s="18"/>
      <c r="K5" s="29"/>
      <c r="L5" t="s">
        <v>92</v>
      </c>
      <c r="M5" s="29"/>
      <c r="N5" s="29" t="s">
        <v>16</v>
      </c>
      <c r="O5" s="29"/>
      <c r="P5" s="29" t="e" cm="1">
        <f t="array" aca="1" ref="P5" ca="1">IF(COUNTIF(INDIRECT(ADDRESS(3,1,1,1,"DHCP")&amp;":"&amp;ADDRESS(A5,1,4,1)),"*END*")&gt;0,"",INDIRECT(ADDRESS(A5,4,4,1,"DHCP")))</f>
        <v>#REF!</v>
      </c>
      <c r="Q5" s="29"/>
      <c r="R5" s="29" t="e" cm="1">
        <f t="array" aca="1" ref="R5" ca="1">IF(COUNTIF(INDIRECT(ADDRESS(3,1,1,1,"DRGs")&amp;":"&amp;ADDRESS(A5,1,4,1)),"*END*")&gt;0,"",INDIRECT(ADDRESS(A5,3,4,1,"DRGs")))</f>
        <v>#REF!</v>
      </c>
      <c r="S5" s="29"/>
      <c r="T5" s="29" t="s">
        <v>154</v>
      </c>
      <c r="U5" s="30"/>
      <c r="V5" s="29"/>
      <c r="Y5" s="29" t="e" cm="1">
        <f t="array" aca="1" ref="Y5" ca="1">IF(COUNTIF(INDIRECT(ADDRESS(3,1,1,1,"DedicatedVMHosts")&amp;":"&amp;ADDRESS(A5,1,4,1)),"*END*")&gt;0,"",INDIRECT(ADDRESS(A5,3,4,1,"DedicatedVMHosts")))</f>
        <v>#REF!</v>
      </c>
      <c r="Z5" s="29" t="e" cm="1">
        <f t="array" aca="1" ref="Z5" ca="1">IF(COUNTIF(INDIRECT(ADDRESS(3,1,1,1,"instances")&amp;":"&amp;ADDRESS(A5,1,4,1)),"*END*")&gt;0,"",INDIRECT(ADDRESS(A5,4,4,1,"instances")))</f>
        <v>#REF!</v>
      </c>
      <c r="AA5" s="29"/>
      <c r="AB5" s="29"/>
      <c r="AC5" s="29"/>
      <c r="AD5" s="29"/>
      <c r="AE5" s="29" t="s">
        <v>174</v>
      </c>
      <c r="AF5" s="29"/>
      <c r="AG5" s="29"/>
      <c r="AH5" s="29"/>
      <c r="AI5" s="29" t="s">
        <v>28</v>
      </c>
      <c r="AJ5" s="29" t="s">
        <v>59</v>
      </c>
      <c r="AK5" s="31" t="s">
        <v>47</v>
      </c>
      <c r="AL5" s="29"/>
      <c r="AM5" s="29">
        <v>307</v>
      </c>
      <c r="AN5" s="29">
        <v>64</v>
      </c>
      <c r="AU5" s="45" t="e">
        <f t="shared" ca="1" si="1"/>
        <v>#REF!</v>
      </c>
    </row>
    <row r="6" spans="1:48" s="28" customFormat="1">
      <c r="A6" s="28">
        <v>7</v>
      </c>
      <c r="B6" s="28" t="e" cm="1">
        <f t="array" aca="1" ref="B6" ca="1">IF(COUNTIF(INDIRECT(ADDRESS(3,1,1,1,"VCNS")&amp;":"&amp;ADDRESS(A6,18,4,1)),"*END*")&gt;0,"","VCN"&amp;"::"&amp;INDIRECT(ADDRESS(A6,3,4,1,"VCNS")))</f>
        <v>#REF!</v>
      </c>
      <c r="C6" s="28" t="e" cm="1">
        <f t="array" aca="1" ref="C6" ca="1">IF(COUNTIF(INDIRECT(ADDRESS(3,1,1,1,"VCNS")&amp;":"&amp;ADDRESS(A6,1,4,1)),"*END*")&gt;0,"",INDIRECT(ADDRESS(A6,3,4,1,"VCNS")))</f>
        <v>#REF!</v>
      </c>
      <c r="E6" s="28" t="e" cm="1">
        <f t="array" aca="1" ref="E6" ca="1">_xlfn.IFNA(IF($H6 + 1 &gt; $G$2, "", INDEX(INDIRECT("SubnetsVLANs!$B$" &amp; $H6 + 2 &amp; ":$B$" &amp; $G$2) &amp; "@" &amp; INDIRECT("SubnetsVLANs!$C$" &amp; $H6 + 2 &amp; ":$C$" &amp; $G$2) &amp; "::" &amp; INDIRECT("SubnetsVLANs!$D$" &amp; $H6 + 2 &amp; ":$D$" &amp; $G$2), MATCH("Subnet*", INDIRECT("SubnetsVLANs!$E$" &amp; $H6 + 2 &amp; ":$E$" &amp; $G$2), 0))), "")</f>
        <v>#REF!</v>
      </c>
      <c r="F6" s="18" t="e">
        <f t="shared" ca="1" si="0"/>
        <v>#REF!</v>
      </c>
      <c r="G6" s="18">
        <f ca="1">COUNTIF($D$2:$D$101,"*")</f>
        <v>0</v>
      </c>
      <c r="H6" s="19">
        <v>5</v>
      </c>
      <c r="I6" s="18"/>
      <c r="J6" s="18"/>
      <c r="K6" s="29"/>
      <c r="L6" t="s">
        <v>381</v>
      </c>
      <c r="M6" s="29"/>
      <c r="N6" s="29"/>
      <c r="O6" s="29"/>
      <c r="P6" s="29" t="e" cm="1">
        <f t="array" aca="1" ref="P6" ca="1">IF(COUNTIF(INDIRECT(ADDRESS(3,1,1,1,"DHCP")&amp;":"&amp;ADDRESS(A6,1,4,1)),"*END*")&gt;0,"",INDIRECT(ADDRESS(A6,4,4,1,"DHCP")))</f>
        <v>#REF!</v>
      </c>
      <c r="Q6" s="29"/>
      <c r="R6" s="29" t="e" cm="1">
        <f t="array" aca="1" ref="R6" ca="1">IF(COUNTIF(INDIRECT(ADDRESS(3,1,1,1,"DRGs")&amp;":"&amp;ADDRESS(A6,1,4,1)),"*END*")&gt;0,"",INDIRECT(ADDRESS(A6,3,4,1,"DRGs")))</f>
        <v>#REF!</v>
      </c>
      <c r="S6" s="29"/>
      <c r="T6" s="29"/>
      <c r="U6" s="30"/>
      <c r="V6" s="29"/>
      <c r="W6" s="29"/>
      <c r="X6" s="29"/>
      <c r="Y6" s="29" t="e" cm="1">
        <f t="array" aca="1" ref="Y6" ca="1">IF(COUNTIF(INDIRECT(ADDRESS(3,1,1,1,"DedicatedVMHosts")&amp;":"&amp;ADDRESS(A6,1,4,1)),"*END*")&gt;0,"",INDIRECT(ADDRESS(A6,3,4,1,"DedicatedVMHosts")))</f>
        <v>#REF!</v>
      </c>
      <c r="Z6" s="29" t="e" cm="1">
        <f t="array" aca="1" ref="Z6" ca="1">IF(COUNTIF(INDIRECT(ADDRESS(3,1,1,1,"instances")&amp;":"&amp;ADDRESS(A6,1,4,1)),"*END*")&gt;0,"",INDIRECT(ADDRESS(A6,4,4,1,"instances")))</f>
        <v>#REF!</v>
      </c>
      <c r="AA6" s="29"/>
      <c r="AB6" s="29"/>
      <c r="AC6" s="29"/>
      <c r="AD6" s="29"/>
      <c r="AE6" s="29"/>
      <c r="AF6" s="29"/>
      <c r="AG6" s="29"/>
      <c r="AH6" s="29"/>
      <c r="AI6" s="29" t="s">
        <v>41</v>
      </c>
      <c r="AJ6" s="29" t="s">
        <v>60</v>
      </c>
      <c r="AK6" s="32"/>
      <c r="AL6" s="29"/>
      <c r="AM6" s="29">
        <v>308</v>
      </c>
      <c r="AN6" s="29"/>
      <c r="AU6" s="45" t="e">
        <f t="shared" ca="1" si="1"/>
        <v>#REF!</v>
      </c>
    </row>
    <row r="7" spans="1:48" s="28" customFormat="1">
      <c r="A7" s="28">
        <v>8</v>
      </c>
      <c r="B7" s="28" t="e" cm="1">
        <f t="array" aca="1" ref="B7" ca="1">IF(COUNTIF(INDIRECT(ADDRESS(3,1,1,1,"VCNS")&amp;":"&amp;ADDRESS(A7,18,4,1)),"*END*")&gt;0,"","VCN"&amp;"::"&amp;INDIRECT(ADDRESS(A7,3,4,1,"VCNS")))</f>
        <v>#REF!</v>
      </c>
      <c r="C7" s="28" t="e" cm="1">
        <f t="array" aca="1" ref="C7" ca="1">IF(COUNTIF(INDIRECT(ADDRESS(3,1,1,1,"VCNS")&amp;":"&amp;ADDRESS(A7,1,4,1)),"*END*")&gt;0,"",INDIRECT(ADDRESS(A7,3,4,1,"VCNS")))</f>
        <v>#REF!</v>
      </c>
      <c r="E7" s="28" t="e" cm="1">
        <f t="array" aca="1" ref="E7" ca="1">_xlfn.IFNA(IF($H7 + 1 &gt; $G$2, "", INDEX(INDIRECT("SubnetsVLANs!$B$" &amp; $H7 + 2 &amp; ":$B$" &amp; $G$2) &amp; "@" &amp; INDIRECT("SubnetsVLANs!$C$" &amp; $H7 + 2 &amp; ":$C$" &amp; $G$2) &amp; "::" &amp; INDIRECT("SubnetsVLANs!$D$" &amp; $H7 + 2 &amp; ":$D$" &amp; $G$2), MATCH("Subnet*", INDIRECT("SubnetsVLANs!$E$" &amp; $H7 + 2 &amp; ":$E$" &amp; $G$2), 0))), "")</f>
        <v>#REF!</v>
      </c>
      <c r="F7" s="18" t="e">
        <f t="shared" ca="1" si="0"/>
        <v>#REF!</v>
      </c>
      <c r="G7" s="18"/>
      <c r="H7" s="19">
        <v>6</v>
      </c>
      <c r="I7" s="18"/>
      <c r="J7" s="18"/>
      <c r="K7" s="29"/>
      <c r="L7" t="s">
        <v>205</v>
      </c>
      <c r="M7" s="29"/>
      <c r="N7" s="29"/>
      <c r="O7" s="29"/>
      <c r="P7" s="29" t="e" cm="1">
        <f t="array" aca="1" ref="P7" ca="1">IF(COUNTIF(INDIRECT(ADDRESS(3,1,1,1,"DHCP")&amp;":"&amp;ADDRESS(A7,1,4,1)),"*END*")&gt;0,"",INDIRECT(ADDRESS(A7,4,4,1,"DHCP")))</f>
        <v>#REF!</v>
      </c>
      <c r="Q7" s="29"/>
      <c r="R7" s="29" t="e" cm="1">
        <f t="array" aca="1" ref="R7" ca="1">IF(COUNTIF(INDIRECT(ADDRESS(3,1,1,1,"DRGs")&amp;":"&amp;ADDRESS(A7,1,4,1)),"*END*")&gt;0,"",INDIRECT(ADDRESS(A7,3,4,1,"DRGs")))</f>
        <v>#REF!</v>
      </c>
      <c r="S7" s="29"/>
      <c r="T7" s="29"/>
      <c r="U7" s="30"/>
      <c r="V7" s="29"/>
      <c r="W7" s="29"/>
      <c r="X7" s="29"/>
      <c r="Y7" s="29" t="e" cm="1">
        <f t="array" aca="1" ref="Y7" ca="1">IF(COUNTIF(INDIRECT(ADDRESS(3,1,1,1,"DedicatedVMHosts")&amp;":"&amp;ADDRESS(A7,1,4,1)),"*END*")&gt;0,"",INDIRECT(ADDRESS(A7,3,4,1,"DedicatedVMHosts")))</f>
        <v>#REF!</v>
      </c>
      <c r="Z7" s="29" t="e" cm="1">
        <f t="array" aca="1" ref="Z7" ca="1">IF(COUNTIF(INDIRECT(ADDRESS(3,1,1,1,"instances")&amp;":"&amp;ADDRESS(A7,1,4,1)),"*END*")&gt;0,"",INDIRECT(ADDRESS(A7,4,4,1,"instances")))</f>
        <v>#REF!</v>
      </c>
      <c r="AA7" s="29"/>
      <c r="AB7" s="29"/>
      <c r="AC7" s="29"/>
      <c r="AD7" s="29"/>
      <c r="AE7" s="29"/>
      <c r="AF7" s="29"/>
      <c r="AG7" s="29"/>
      <c r="AH7" s="29"/>
      <c r="AI7" s="29" t="s">
        <v>46</v>
      </c>
      <c r="AJ7" s="29" t="s">
        <v>61</v>
      </c>
      <c r="AK7" s="32"/>
      <c r="AL7" s="29"/>
      <c r="AM7" s="29"/>
      <c r="AN7" s="29"/>
      <c r="AU7" s="45" t="e">
        <f t="shared" ca="1" si="1"/>
        <v>#REF!</v>
      </c>
    </row>
    <row r="8" spans="1:48" s="28" customFormat="1">
      <c r="A8" s="28">
        <v>9</v>
      </c>
      <c r="B8" s="28" t="e" cm="1">
        <f t="array" aca="1" ref="B8" ca="1">IF(COUNTIF(INDIRECT(ADDRESS(3,1,1,1,"VCNS")&amp;":"&amp;ADDRESS(A8,18,4,1)),"*END*")&gt;0,"","VCN"&amp;"::"&amp;INDIRECT(ADDRESS(A8,3,4,1,"VCNS")))</f>
        <v>#REF!</v>
      </c>
      <c r="C8" s="28" t="e" cm="1">
        <f t="array" aca="1" ref="C8" ca="1">IF(COUNTIF(INDIRECT(ADDRESS(3,1,1,1,"VCNS")&amp;":"&amp;ADDRESS(A8,1,4,1)),"*END*")&gt;0,"",INDIRECT(ADDRESS(A8,3,4,1,"VCNS")))</f>
        <v>#REF!</v>
      </c>
      <c r="E8" s="28" t="e" cm="1">
        <f t="array" aca="1" ref="E8" ca="1">_xlfn.IFNA(IF($H8 + 1 &gt; $G$2, "", INDEX(INDIRECT("SubnetsVLANs!$B$" &amp; $H8 + 2 &amp; ":$B$" &amp; $G$2) &amp; "@" &amp; INDIRECT("SubnetsVLANs!$C$" &amp; $H8 + 2 &amp; ":$C$" &amp; $G$2) &amp; "::" &amp; INDIRECT("SubnetsVLANs!$D$" &amp; $H8 + 2 &amp; ":$D$" &amp; $G$2), MATCH("Subnet*", INDIRECT("SubnetsVLANs!$E$" &amp; $H8 + 2 &amp; ":$E$" &amp; $G$2), 0))), "")</f>
        <v>#REF!</v>
      </c>
      <c r="F8" s="18" t="e">
        <f t="shared" ca="1" si="0"/>
        <v>#REF!</v>
      </c>
      <c r="G8" s="18"/>
      <c r="H8" s="19">
        <v>7</v>
      </c>
      <c r="I8" s="18"/>
      <c r="J8" s="18"/>
      <c r="K8" s="29"/>
      <c r="L8" t="s">
        <v>191</v>
      </c>
      <c r="M8" s="29"/>
      <c r="N8" s="29"/>
      <c r="O8" s="29"/>
      <c r="P8" s="29" t="e" cm="1">
        <f t="array" aca="1" ref="P8" ca="1">IF(COUNTIF(INDIRECT(ADDRESS(3,1,1,1,"DHCP")&amp;":"&amp;ADDRESS(A8,1,4,1)),"*END*")&gt;0,"",INDIRECT(ADDRESS(A8,4,4,1,"DHCP")))</f>
        <v>#REF!</v>
      </c>
      <c r="Q8" s="29"/>
      <c r="R8" s="29" t="e" cm="1">
        <f t="array" aca="1" ref="R8" ca="1">IF(COUNTIF(INDIRECT(ADDRESS(3,1,1,1,"DRGs")&amp;":"&amp;ADDRESS(A8,1,4,1)),"*END*")&gt;0,"",INDIRECT(ADDRESS(A8,3,4,1,"DRGs")))</f>
        <v>#REF!</v>
      </c>
      <c r="S8" s="29"/>
      <c r="T8" s="29"/>
      <c r="U8" s="30"/>
      <c r="V8" s="29"/>
      <c r="W8" s="29"/>
      <c r="X8" s="29"/>
      <c r="Y8" s="29" t="e" cm="1">
        <f t="array" aca="1" ref="Y8" ca="1">IF(COUNTIF(INDIRECT(ADDRESS(3,1,1,1,"DedicatedVMHosts")&amp;":"&amp;ADDRESS(A8,1,4,1)),"*END*")&gt;0,"",INDIRECT(ADDRESS(A8,3,4,1,"DedicatedVMHosts")))</f>
        <v>#REF!</v>
      </c>
      <c r="Z8" s="29" t="e" cm="1">
        <f t="array" aca="1" ref="Z8" ca="1">IF(COUNTIF(INDIRECT(ADDRESS(3,1,1,1,"instances")&amp;":"&amp;ADDRESS(A8,1,4,1)),"*END*")&gt;0,"",INDIRECT(ADDRESS(A8,4,4,1,"instances")))</f>
        <v>#REF!</v>
      </c>
      <c r="AA8" s="29"/>
      <c r="AB8" s="29"/>
      <c r="AC8" s="29"/>
      <c r="AD8" s="29"/>
      <c r="AE8" s="29"/>
      <c r="AF8" s="29"/>
      <c r="AG8" s="29"/>
      <c r="AH8" s="29"/>
      <c r="AI8" s="29" t="s">
        <v>34</v>
      </c>
      <c r="AJ8" s="29" t="s">
        <v>33</v>
      </c>
      <c r="AK8" s="32"/>
      <c r="AL8" s="29"/>
      <c r="AM8" s="29"/>
      <c r="AN8" s="29"/>
      <c r="AU8" s="45" t="e">
        <f t="shared" ca="1" si="1"/>
        <v>#REF!</v>
      </c>
    </row>
    <row r="9" spans="1:48" s="28" customFormat="1">
      <c r="A9" s="28">
        <v>10</v>
      </c>
      <c r="B9" s="28" t="e" cm="1">
        <f t="array" aca="1" ref="B9" ca="1">IF(COUNTIF(INDIRECT(ADDRESS(3,1,1,1,"VCNS")&amp;":"&amp;ADDRESS(A9,18,4,1)),"*END*")&gt;0,"","VCN"&amp;"::"&amp;INDIRECT(ADDRESS(A9,3,4,1,"VCNS")))</f>
        <v>#REF!</v>
      </c>
      <c r="C9" s="28" t="e" cm="1">
        <f t="array" aca="1" ref="C9" ca="1">IF(COUNTIF(INDIRECT(ADDRESS(3,1,1,1,"VCNS")&amp;":"&amp;ADDRESS(A9,1,4,1)),"*END*")&gt;0,"",INDIRECT(ADDRESS(A9,3,4,1,"VCNS")))</f>
        <v>#REF!</v>
      </c>
      <c r="E9" s="28" t="e" cm="1">
        <f t="array" aca="1" ref="E9" ca="1">_xlfn.IFNA(IF($H9 + 1 &gt; $G$2, "", INDEX(INDIRECT("SubnetsVLANs!$B$" &amp; $H9 + 2 &amp; ":$B$" &amp; $G$2) &amp; "@" &amp; INDIRECT("SubnetsVLANs!$C$" &amp; $H9 + 2 &amp; ":$C$" &amp; $G$2) &amp; "::" &amp; INDIRECT("SubnetsVLANs!$D$" &amp; $H9 + 2 &amp; ":$D$" &amp; $G$2), MATCH("Subnet*", INDIRECT("SubnetsVLANs!$E$" &amp; $H9 + 2 &amp; ":$E$" &amp; $G$2), 0))), "")</f>
        <v>#REF!</v>
      </c>
      <c r="F9" s="18" t="e">
        <f t="shared" ca="1" si="0"/>
        <v>#REF!</v>
      </c>
      <c r="G9" s="18"/>
      <c r="H9" s="19">
        <v>8</v>
      </c>
      <c r="I9" s="18"/>
      <c r="J9" s="18"/>
      <c r="K9" s="29"/>
      <c r="L9" t="s">
        <v>148</v>
      </c>
      <c r="M9" s="29"/>
      <c r="N9" s="29"/>
      <c r="O9" s="29"/>
      <c r="P9" s="29" t="e" cm="1">
        <f t="array" aca="1" ref="P9" ca="1">IF(COUNTIF(INDIRECT(ADDRESS(3,1,1,1,"DHCP")&amp;":"&amp;ADDRESS(A9,1,4,1)),"*END*")&gt;0,"",INDIRECT(ADDRESS(A9,4,4,1,"DHCP")))</f>
        <v>#REF!</v>
      </c>
      <c r="Q9" s="29"/>
      <c r="R9" s="29" t="e" cm="1">
        <f t="array" aca="1" ref="R9" ca="1">IF(COUNTIF(INDIRECT(ADDRESS(3,1,1,1,"DRGs")&amp;":"&amp;ADDRESS(A9,1,4,1)),"*END*")&gt;0,"",INDIRECT(ADDRESS(A9,3,4,1,"DRGs")))</f>
        <v>#REF!</v>
      </c>
      <c r="S9" s="29"/>
      <c r="T9" s="29"/>
      <c r="U9" s="30"/>
      <c r="V9" s="29"/>
      <c r="W9" s="29"/>
      <c r="X9" s="29"/>
      <c r="Y9" s="29" t="e" cm="1">
        <f t="array" aca="1" ref="Y9" ca="1">IF(COUNTIF(INDIRECT(ADDRESS(3,1,1,1,"DedicatedVMHosts")&amp;":"&amp;ADDRESS(A9,1,4,1)),"*END*")&gt;0,"",INDIRECT(ADDRESS(A9,3,4,1,"DedicatedVMHosts")))</f>
        <v>#REF!</v>
      </c>
      <c r="Z9" s="29" t="e" cm="1">
        <f t="array" aca="1" ref="Z9" ca="1">IF(COUNTIF(INDIRECT(ADDRESS(3,1,1,1,"instances")&amp;":"&amp;ADDRESS(A9,1,4,1)),"*END*")&gt;0,"",INDIRECT(ADDRESS(A9,4,4,1,"instances")))</f>
        <v>#REF!</v>
      </c>
      <c r="AA9" s="29"/>
      <c r="AB9" s="29"/>
      <c r="AC9" s="29"/>
      <c r="AD9" s="29"/>
      <c r="AE9" s="29"/>
      <c r="AF9" s="29"/>
      <c r="AG9" s="29"/>
      <c r="AH9" s="29"/>
      <c r="AI9" s="29" t="s">
        <v>37</v>
      </c>
      <c r="AJ9" s="29" t="s">
        <v>29</v>
      </c>
      <c r="AK9" s="32"/>
      <c r="AL9" s="29"/>
      <c r="AM9" s="29"/>
      <c r="AN9" s="29"/>
      <c r="AU9" s="45" t="e">
        <f t="shared" ca="1" si="1"/>
        <v>#REF!</v>
      </c>
    </row>
    <row r="10" spans="1:48" s="28" customFormat="1">
      <c r="A10" s="28">
        <v>11</v>
      </c>
      <c r="B10" s="28" t="e" cm="1">
        <f t="array" aca="1" ref="B10" ca="1">IF(COUNTIF(INDIRECT(ADDRESS(3,1,1,1,"VCNS")&amp;":"&amp;ADDRESS(A10,18,4,1)),"*END*")&gt;0,"","VCN"&amp;"::"&amp;INDIRECT(ADDRESS(A10,3,4,1,"VCNS")))</f>
        <v>#REF!</v>
      </c>
      <c r="C10" s="28" t="e" cm="1">
        <f t="array" aca="1" ref="C10" ca="1">IF(COUNTIF(INDIRECT(ADDRESS(3,1,1,1,"VCNS")&amp;":"&amp;ADDRESS(A10,1,4,1)),"*END*")&gt;0,"",INDIRECT(ADDRESS(A10,3,4,1,"VCNS")))</f>
        <v>#REF!</v>
      </c>
      <c r="E10" s="28" t="e" cm="1">
        <f t="array" aca="1" ref="E10" ca="1">_xlfn.IFNA(IF($H10 + 1 &gt; $G$2, "", INDEX(INDIRECT("SubnetsVLANs!$B$" &amp; $H10 + 2 &amp; ":$B$" &amp; $G$2) &amp; "@" &amp; INDIRECT("SubnetsVLANs!$C$" &amp; $H10 + 2 &amp; ":$C$" &amp; $G$2) &amp; "::" &amp; INDIRECT("SubnetsVLANs!$D$" &amp; $H10 + 2 &amp; ":$D$" &amp; $G$2), MATCH("Subnet*", INDIRECT("SubnetsVLANs!$E$" &amp; $H10 + 2 &amp; ":$E$" &amp; $G$2), 0))), "")</f>
        <v>#REF!</v>
      </c>
      <c r="F10" s="18" t="e">
        <f t="shared" ca="1" si="0"/>
        <v>#REF!</v>
      </c>
      <c r="G10" s="18"/>
      <c r="H10" s="19">
        <v>9</v>
      </c>
      <c r="I10" s="18"/>
      <c r="J10" s="18"/>
      <c r="K10" s="29"/>
      <c r="L10" t="s">
        <v>153</v>
      </c>
      <c r="M10" s="29"/>
      <c r="N10" s="29"/>
      <c r="O10" s="29"/>
      <c r="P10" s="29" t="e" cm="1">
        <f t="array" aca="1" ref="P10" ca="1">IF(COUNTIF(INDIRECT(ADDRESS(3,1,1,1,"DHCP")&amp;":"&amp;ADDRESS(A10,1,4,1)),"*END*")&gt;0,"",INDIRECT(ADDRESS(A10,4,4,1,"DHCP")))</f>
        <v>#REF!</v>
      </c>
      <c r="Q10" s="29"/>
      <c r="R10" s="29" t="e" cm="1">
        <f t="array" aca="1" ref="R10" ca="1">IF(COUNTIF(INDIRECT(ADDRESS(3,1,1,1,"DRGs")&amp;":"&amp;ADDRESS(A10,1,4,1)),"*END*")&gt;0,"",INDIRECT(ADDRESS(A10,3,4,1,"DRGs")))</f>
        <v>#REF!</v>
      </c>
      <c r="S10" s="29"/>
      <c r="T10" s="29"/>
      <c r="U10" s="30"/>
      <c r="V10" s="29"/>
      <c r="W10" s="29"/>
      <c r="X10" s="29"/>
      <c r="Y10" s="29" t="e" cm="1">
        <f t="array" aca="1" ref="Y10" ca="1">IF(COUNTIF(INDIRECT(ADDRESS(3,1,1,1,"DedicatedVMHosts")&amp;":"&amp;ADDRESS(A10,1,4,1)),"*END*")&gt;0,"",INDIRECT(ADDRESS(A10,3,4,1,"DedicatedVMHosts")))</f>
        <v>#REF!</v>
      </c>
      <c r="Z10" s="29" t="e" cm="1">
        <f t="array" aca="1" ref="Z10" ca="1">IF(COUNTIF(INDIRECT(ADDRESS(3,1,1,1,"instances")&amp;":"&amp;ADDRESS(A10,1,4,1)),"*END*")&gt;0,"",INDIRECT(ADDRESS(A10,4,4,1,"instances")))</f>
        <v>#REF!</v>
      </c>
      <c r="AA10" s="29"/>
      <c r="AB10" s="29"/>
      <c r="AC10" s="29"/>
      <c r="AD10" s="29"/>
      <c r="AE10" s="29"/>
      <c r="AF10" s="29"/>
      <c r="AG10" s="29"/>
      <c r="AH10" s="29"/>
      <c r="AI10" s="29" t="s">
        <v>43</v>
      </c>
      <c r="AJ10" s="29" t="s">
        <v>62</v>
      </c>
      <c r="AK10" s="32"/>
      <c r="AL10" s="29"/>
      <c r="AM10" s="29"/>
      <c r="AN10" s="29"/>
      <c r="AU10" s="45" t="e">
        <f t="shared" ca="1" si="1"/>
        <v>#REF!</v>
      </c>
    </row>
    <row r="11" spans="1:48" s="28" customFormat="1">
      <c r="A11" s="28">
        <v>12</v>
      </c>
      <c r="B11" s="28" t="e" cm="1">
        <f t="array" aca="1" ref="B11" ca="1">IF(COUNTIF(INDIRECT(ADDRESS(3,1,1,1,"VCNS")&amp;":"&amp;ADDRESS(A11,18,4,1)),"*END*")&gt;0,"","VCN"&amp;"::"&amp;INDIRECT(ADDRESS(A11,3,4,1,"VCNS")))</f>
        <v>#REF!</v>
      </c>
      <c r="C11" s="28" t="e" cm="1">
        <f t="array" aca="1" ref="C11" ca="1">IF(COUNTIF(INDIRECT(ADDRESS(3,1,1,1,"VCNS")&amp;":"&amp;ADDRESS(A11,1,4,1)),"*END*")&gt;0,"",INDIRECT(ADDRESS(A11,3,4,1,"VCNS")))</f>
        <v>#REF!</v>
      </c>
      <c r="E11" s="28" t="e" cm="1">
        <f t="array" aca="1" ref="E11" ca="1">_xlfn.IFNA(IF($H11 + 1 &gt; $G$2, "", INDEX(INDIRECT("SubnetsVLANs!$B$" &amp; $H11 + 2 &amp; ":$B$" &amp; $G$2) &amp; "@" &amp; INDIRECT("SubnetsVLANs!$C$" &amp; $H11 + 2 &amp; ":$C$" &amp; $G$2) &amp; "::" &amp; INDIRECT("SubnetsVLANs!$D$" &amp; $H11 + 2 &amp; ":$D$" &amp; $G$2), MATCH("Subnet*", INDIRECT("SubnetsVLANs!$E$" &amp; $H11 + 2 &amp; ":$E$" &amp; $G$2), 0))), "")</f>
        <v>#REF!</v>
      </c>
      <c r="F11" s="18" t="e">
        <f t="shared" ca="1" si="0"/>
        <v>#REF!</v>
      </c>
      <c r="G11" s="18"/>
      <c r="H11" s="19">
        <v>10</v>
      </c>
      <c r="I11" s="18"/>
      <c r="J11" s="18"/>
      <c r="K11" s="29"/>
      <c r="L11" t="s">
        <v>155</v>
      </c>
      <c r="M11" s="29"/>
      <c r="N11" s="29"/>
      <c r="O11" s="29"/>
      <c r="P11" s="29" t="e" cm="1">
        <f t="array" aca="1" ref="P11" ca="1">IF(COUNTIF(INDIRECT(ADDRESS(3,1,1,1,"DHCP")&amp;":"&amp;ADDRESS(A11,1,4,1)),"*END*")&gt;0,"",INDIRECT(ADDRESS(A11,4,4,1,"DHCP")))</f>
        <v>#REF!</v>
      </c>
      <c r="Q11" s="29"/>
      <c r="R11" s="29" t="e" cm="1">
        <f t="array" aca="1" ref="R11" ca="1">IF(COUNTIF(INDIRECT(ADDRESS(3,1,1,1,"DRGs")&amp;":"&amp;ADDRESS(A11,1,4,1)),"*END*")&gt;0,"",INDIRECT(ADDRESS(A11,3,4,1,"DRGs")))</f>
        <v>#REF!</v>
      </c>
      <c r="S11" s="29"/>
      <c r="T11" s="29"/>
      <c r="U11" s="30"/>
      <c r="V11" s="29"/>
      <c r="W11" s="29"/>
      <c r="X11" s="29"/>
      <c r="Y11" s="29" t="e" cm="1">
        <f t="array" aca="1" ref="Y11" ca="1">IF(COUNTIF(INDIRECT(ADDRESS(3,1,1,1,"DedicatedVMHosts")&amp;":"&amp;ADDRESS(A11,1,4,1)),"*END*")&gt;0,"",INDIRECT(ADDRESS(A11,3,4,1,"DedicatedVMHosts")))</f>
        <v>#REF!</v>
      </c>
      <c r="Z11" s="29" t="e" cm="1">
        <f t="array" aca="1" ref="Z11" ca="1">IF(COUNTIF(INDIRECT(ADDRESS(3,1,1,1,"instances")&amp;":"&amp;ADDRESS(A11,1,4,1)),"*END*")&gt;0,"",INDIRECT(ADDRESS(A11,4,4,1,"instances")))</f>
        <v>#REF!</v>
      </c>
      <c r="AA11" s="29"/>
      <c r="AB11" s="29"/>
      <c r="AC11" s="29"/>
      <c r="AD11" s="29"/>
      <c r="AE11" s="29"/>
      <c r="AF11" s="29"/>
      <c r="AG11" s="29"/>
      <c r="AH11" s="29"/>
      <c r="AI11" s="29" t="s">
        <v>45</v>
      </c>
      <c r="AJ11" s="29" t="s">
        <v>63</v>
      </c>
      <c r="AK11" s="32"/>
      <c r="AL11" s="29"/>
      <c r="AM11" s="29"/>
      <c r="AN11" s="29"/>
      <c r="AU11" s="45" t="e">
        <f t="shared" ca="1" si="1"/>
        <v>#REF!</v>
      </c>
    </row>
    <row r="12" spans="1:48" s="28" customFormat="1">
      <c r="A12" s="28">
        <v>13</v>
      </c>
      <c r="B12" s="28" t="e" cm="1">
        <f t="array" aca="1" ref="B12" ca="1">IF(COUNTIF(INDIRECT(ADDRESS(3,1,1,1,"VCNS")&amp;":"&amp;ADDRESS(A12,18,4,1)),"*END*")&gt;0,"","VCN"&amp;"::"&amp;INDIRECT(ADDRESS(A12,3,4,1,"VCNS")))</f>
        <v>#REF!</v>
      </c>
      <c r="C12" s="28" t="e" cm="1">
        <f t="array" aca="1" ref="C12" ca="1">IF(COUNTIF(INDIRECT(ADDRESS(3,1,1,1,"VCNS")&amp;":"&amp;ADDRESS(A12,1,4,1)),"*END*")&gt;0,"",INDIRECT(ADDRESS(A12,3,4,1,"VCNS")))</f>
        <v>#REF!</v>
      </c>
      <c r="E12" s="28" t="e" cm="1">
        <f t="array" aca="1" ref="E12" ca="1">_xlfn.IFNA(IF($H12 + 1 &gt; $G$2, "", INDEX(INDIRECT("SubnetsVLANs!$B$" &amp; $H12 + 2 &amp; ":$B$" &amp; $G$2) &amp; "@" &amp; INDIRECT("SubnetsVLANs!$C$" &amp; $H12 + 2 &amp; ":$C$" &amp; $G$2) &amp; "::" &amp; INDIRECT("SubnetsVLANs!$D$" &amp; $H12 + 2 &amp; ":$D$" &amp; $G$2), MATCH("Subnet*", INDIRECT("SubnetsVLANs!$E$" &amp; $H12 + 2 &amp; ":$E$" &amp; $G$2), 0))), "")</f>
        <v>#REF!</v>
      </c>
      <c r="F12" s="18" t="e">
        <f t="shared" ca="1" si="0"/>
        <v>#REF!</v>
      </c>
      <c r="G12" s="18"/>
      <c r="H12" s="19">
        <v>11</v>
      </c>
      <c r="I12" s="18"/>
      <c r="J12" s="18"/>
      <c r="K12" s="29"/>
      <c r="L12" t="s">
        <v>156</v>
      </c>
      <c r="M12" s="29"/>
      <c r="N12" s="29"/>
      <c r="O12" s="29"/>
      <c r="P12" s="29" t="e" cm="1">
        <f t="array" aca="1" ref="P12" ca="1">IF(COUNTIF(INDIRECT(ADDRESS(3,1,1,1,"DHCP")&amp;":"&amp;ADDRESS(A12,1,4,1)),"*END*")&gt;0,"",INDIRECT(ADDRESS(A12,4,4,1,"DHCP")))</f>
        <v>#REF!</v>
      </c>
      <c r="Q12" s="29"/>
      <c r="R12" s="29" t="e" cm="1">
        <f t="array" aca="1" ref="R12" ca="1">IF(COUNTIF(INDIRECT(ADDRESS(3,1,1,1,"DRGs")&amp;":"&amp;ADDRESS(A12,1,4,1)),"*END*")&gt;0,"",INDIRECT(ADDRESS(A12,3,4,1,"DRGs")))</f>
        <v>#REF!</v>
      </c>
      <c r="S12" s="29"/>
      <c r="T12" s="29"/>
      <c r="U12" s="30"/>
      <c r="V12" s="29"/>
      <c r="W12" s="29"/>
      <c r="X12" s="29"/>
      <c r="Y12" s="29" t="e" cm="1">
        <f t="array" aca="1" ref="Y12" ca="1">IF(COUNTIF(INDIRECT(ADDRESS(3,1,1,1,"DedicatedVMHosts")&amp;":"&amp;ADDRESS(A12,1,4,1)),"*END*")&gt;0,"",INDIRECT(ADDRESS(A12,3,4,1,"DedicatedVMHosts")))</f>
        <v>#REF!</v>
      </c>
      <c r="Z12" s="29" t="e" cm="1">
        <f t="array" aca="1" ref="Z12" ca="1">IF(COUNTIF(INDIRECT(ADDRESS(3,1,1,1,"instances")&amp;":"&amp;ADDRESS(A12,1,4,1)),"*END*")&gt;0,"",INDIRECT(ADDRESS(A12,4,4,1,"instances")))</f>
        <v>#REF!</v>
      </c>
      <c r="AA12" s="29"/>
      <c r="AB12" s="29"/>
      <c r="AC12" s="29"/>
      <c r="AD12" s="29"/>
      <c r="AE12" s="29"/>
      <c r="AF12" s="29"/>
      <c r="AG12" s="29"/>
      <c r="AH12" s="29"/>
      <c r="AI12" s="29"/>
      <c r="AJ12" s="29" t="s">
        <v>64</v>
      </c>
      <c r="AK12" s="32"/>
      <c r="AL12" s="29"/>
      <c r="AM12" s="29"/>
      <c r="AN12" s="29"/>
      <c r="AU12" s="45" t="e">
        <f t="shared" ca="1" si="1"/>
        <v>#REF!</v>
      </c>
    </row>
    <row r="13" spans="1:48" s="28" customFormat="1">
      <c r="A13" s="28">
        <v>14</v>
      </c>
      <c r="B13" s="28" t="e" cm="1">
        <f t="array" aca="1" ref="B13" ca="1">IF(COUNTIF(INDIRECT(ADDRESS(3,1,1,1,"VCNS")&amp;":"&amp;ADDRESS(A13,18,4,1)),"*END*")&gt;0,"","VCN"&amp;"::"&amp;INDIRECT(ADDRESS(A13,3,4,1,"VCNS")))</f>
        <v>#REF!</v>
      </c>
      <c r="C13" s="28" t="e" cm="1">
        <f t="array" aca="1" ref="C13" ca="1">IF(COUNTIF(INDIRECT(ADDRESS(3,1,1,1,"VCNS")&amp;":"&amp;ADDRESS(A13,1,4,1)),"*END*")&gt;0,"",INDIRECT(ADDRESS(A13,3,4,1,"VCNS")))</f>
        <v>#REF!</v>
      </c>
      <c r="E13" s="28" t="e" cm="1">
        <f t="array" aca="1" ref="E13" ca="1">_xlfn.IFNA(IF($H13 + 1 &gt; $G$2, "", INDEX(INDIRECT("SubnetsVLANs!$B$" &amp; $H13 + 2 &amp; ":$B$" &amp; $G$2) &amp; "@" &amp; INDIRECT("SubnetsVLANs!$C$" &amp; $H13 + 2 &amp; ":$C$" &amp; $G$2) &amp; "::" &amp; INDIRECT("SubnetsVLANs!$D$" &amp; $H13 + 2 &amp; ":$D$" &amp; $G$2), MATCH("Subnet*", INDIRECT("SubnetsVLANs!$E$" &amp; $H13 + 2 &amp; ":$E$" &amp; $G$2), 0))), "")</f>
        <v>#REF!</v>
      </c>
      <c r="F13" s="18" t="e">
        <f t="shared" ca="1" si="0"/>
        <v>#REF!</v>
      </c>
      <c r="G13" s="18"/>
      <c r="H13" s="19">
        <v>12</v>
      </c>
      <c r="I13" s="18"/>
      <c r="J13" s="18"/>
      <c r="K13" s="29"/>
      <c r="L13" t="s">
        <v>157</v>
      </c>
      <c r="M13" s="29"/>
      <c r="N13" s="29"/>
      <c r="O13" s="29"/>
      <c r="P13" s="29" t="e" cm="1">
        <f t="array" aca="1" ref="P13" ca="1">IF(COUNTIF(INDIRECT(ADDRESS(3,1,1,1,"DHCP")&amp;":"&amp;ADDRESS(A13,1,4,1)),"*END*")&gt;0,"",INDIRECT(ADDRESS(A13,4,4,1,"DHCP")))</f>
        <v>#REF!</v>
      </c>
      <c r="Q13" s="29"/>
      <c r="R13" s="29" t="e" cm="1">
        <f t="array" aca="1" ref="R13" ca="1">IF(COUNTIF(INDIRECT(ADDRESS(3,1,1,1,"DRGs")&amp;":"&amp;ADDRESS(A13,1,4,1)),"*END*")&gt;0,"",INDIRECT(ADDRESS(A13,3,4,1,"DRGs")))</f>
        <v>#REF!</v>
      </c>
      <c r="S13" s="29"/>
      <c r="T13" s="29"/>
      <c r="U13" s="30"/>
      <c r="V13" s="29"/>
      <c r="W13" s="29"/>
      <c r="X13" s="29"/>
      <c r="Y13" s="29" t="e" cm="1">
        <f t="array" aca="1" ref="Y13" ca="1">IF(COUNTIF(INDIRECT(ADDRESS(3,1,1,1,"DedicatedVMHosts")&amp;":"&amp;ADDRESS(A13,1,4,1)),"*END*")&gt;0,"",INDIRECT(ADDRESS(A13,3,4,1,"DedicatedVMHosts")))</f>
        <v>#REF!</v>
      </c>
      <c r="Z13" s="29" t="e" cm="1">
        <f t="array" aca="1" ref="Z13" ca="1">IF(COUNTIF(INDIRECT(ADDRESS(3,1,1,1,"instances")&amp;":"&amp;ADDRESS(A13,1,4,1)),"*END*")&gt;0,"",INDIRECT(ADDRESS(A13,4,4,1,"instances")))</f>
        <v>#REF!</v>
      </c>
      <c r="AA13" s="29"/>
      <c r="AB13" s="29"/>
      <c r="AC13" s="29"/>
      <c r="AD13" s="29"/>
      <c r="AE13" s="29"/>
      <c r="AF13" s="29"/>
      <c r="AG13" s="29"/>
      <c r="AH13" s="29"/>
      <c r="AI13" s="29"/>
      <c r="AJ13" s="29" t="s">
        <v>65</v>
      </c>
      <c r="AK13" s="32"/>
      <c r="AL13" s="29"/>
      <c r="AM13" s="29"/>
      <c r="AN13" s="29"/>
      <c r="AU13" s="45" t="e">
        <f t="shared" ca="1" si="1"/>
        <v>#REF!</v>
      </c>
    </row>
    <row r="14" spans="1:48" s="28" customFormat="1">
      <c r="A14" s="28">
        <v>15</v>
      </c>
      <c r="B14" s="28" t="e" cm="1">
        <f t="array" aca="1" ref="B14" ca="1">IF(COUNTIF(INDIRECT(ADDRESS(3,1,1,1,"VCNS")&amp;":"&amp;ADDRESS(A14,18,4,1)),"*END*")&gt;0,"","VCN"&amp;"::"&amp;INDIRECT(ADDRESS(A14,3,4,1,"VCNS")))</f>
        <v>#REF!</v>
      </c>
      <c r="C14" s="28" t="e" cm="1">
        <f t="array" aca="1" ref="C14" ca="1">IF(COUNTIF(INDIRECT(ADDRESS(3,1,1,1,"VCNS")&amp;":"&amp;ADDRESS(A14,1,4,1)),"*END*")&gt;0,"",INDIRECT(ADDRESS(A14,3,4,1,"VCNS")))</f>
        <v>#REF!</v>
      </c>
      <c r="E14" s="28" t="e" cm="1">
        <f t="array" aca="1" ref="E14" ca="1">_xlfn.IFNA(IF($H14 + 1 &gt; $G$2, "", INDEX(INDIRECT("SubnetsVLANs!$B$" &amp; $H14 + 2 &amp; ":$B$" &amp; $G$2) &amp; "@" &amp; INDIRECT("SubnetsVLANs!$C$" &amp; $H14 + 2 &amp; ":$C$" &amp; $G$2) &amp; "::" &amp; INDIRECT("SubnetsVLANs!$D$" &amp; $H14 + 2 &amp; ":$D$" &amp; $G$2), MATCH("Subnet*", INDIRECT("SubnetsVLANs!$E$" &amp; $H14 + 2 &amp; ":$E$" &amp; $G$2), 0))), "")</f>
        <v>#REF!</v>
      </c>
      <c r="F14" s="18" t="e">
        <f t="shared" ca="1" si="0"/>
        <v>#REF!</v>
      </c>
      <c r="G14" s="18"/>
      <c r="H14" s="19">
        <v>13</v>
      </c>
      <c r="I14" s="18"/>
      <c r="J14" s="18"/>
      <c r="K14" s="29"/>
      <c r="L14" t="s">
        <v>192</v>
      </c>
      <c r="M14" s="29"/>
      <c r="N14" s="29"/>
      <c r="O14" s="29"/>
      <c r="P14" s="29" t="e" cm="1">
        <f t="array" aca="1" ref="P14" ca="1">IF(COUNTIF(INDIRECT(ADDRESS(3,1,1,1,"DHCP")&amp;":"&amp;ADDRESS(A14,1,4,1)),"*END*")&gt;0,"",INDIRECT(ADDRESS(A14,4,4,1,"DHCP")))</f>
        <v>#REF!</v>
      </c>
      <c r="Q14" s="29"/>
      <c r="R14" s="29" t="e" cm="1">
        <f t="array" aca="1" ref="R14" ca="1">IF(COUNTIF(INDIRECT(ADDRESS(3,1,1,1,"DRGs")&amp;":"&amp;ADDRESS(A14,1,4,1)),"*END*")&gt;0,"",INDIRECT(ADDRESS(A14,3,4,1,"DRGs")))</f>
        <v>#REF!</v>
      </c>
      <c r="S14" s="29"/>
      <c r="T14" s="29"/>
      <c r="U14" s="30"/>
      <c r="V14" s="29"/>
      <c r="W14" s="29"/>
      <c r="X14" s="29"/>
      <c r="Y14" s="29" t="e" cm="1">
        <f t="array" aca="1" ref="Y14" ca="1">IF(COUNTIF(INDIRECT(ADDRESS(3,1,1,1,"DedicatedVMHosts")&amp;":"&amp;ADDRESS(A14,1,4,1)),"*END*")&gt;0,"",INDIRECT(ADDRESS(A14,3,4,1,"DedicatedVMHosts")))</f>
        <v>#REF!</v>
      </c>
      <c r="Z14" s="29" t="e" cm="1">
        <f t="array" aca="1" ref="Z14" ca="1">IF(COUNTIF(INDIRECT(ADDRESS(3,1,1,1,"instances")&amp;":"&amp;ADDRESS(A14,1,4,1)),"*END*")&gt;0,"",INDIRECT(ADDRESS(A14,4,4,1,"instances")))</f>
        <v>#REF!</v>
      </c>
      <c r="AA14" s="29"/>
      <c r="AB14" s="29"/>
      <c r="AC14" s="29"/>
      <c r="AD14" s="29"/>
      <c r="AE14" s="29"/>
      <c r="AF14" s="29"/>
      <c r="AG14" s="29"/>
      <c r="AH14" s="29"/>
      <c r="AI14" s="29"/>
      <c r="AJ14" s="29" t="s">
        <v>66</v>
      </c>
      <c r="AK14" s="32"/>
      <c r="AL14" s="29"/>
      <c r="AM14" s="29"/>
      <c r="AN14" s="29"/>
      <c r="AU14" s="45" t="e">
        <f t="shared" ca="1" si="1"/>
        <v>#REF!</v>
      </c>
    </row>
    <row r="15" spans="1:48" s="28" customFormat="1">
      <c r="A15" s="28">
        <v>16</v>
      </c>
      <c r="B15" s="28" t="e" cm="1">
        <f t="array" aca="1" ref="B15" ca="1">IF(COUNTIF(INDIRECT(ADDRESS(3,1,1,1,"VCNS")&amp;":"&amp;ADDRESS(A15,18,4,1)),"*END*")&gt;0,"","VCN"&amp;"::"&amp;INDIRECT(ADDRESS(A15,3,4,1,"VCNS")))</f>
        <v>#REF!</v>
      </c>
      <c r="C15" s="28" t="e" cm="1">
        <f t="array" aca="1" ref="C15" ca="1">IF(COUNTIF(INDIRECT(ADDRESS(3,1,1,1,"VCNS")&amp;":"&amp;ADDRESS(A15,1,4,1)),"*END*")&gt;0,"",INDIRECT(ADDRESS(A15,3,4,1,"VCNS")))</f>
        <v>#REF!</v>
      </c>
      <c r="E15" s="28" t="e" cm="1">
        <f t="array" aca="1" ref="E15" ca="1">_xlfn.IFNA(IF($H15 + 1 &gt; $G$2, "", INDEX(INDIRECT("SubnetsVLANs!$B$" &amp; $H15 + 2 &amp; ":$B$" &amp; $G$2) &amp; "@" &amp; INDIRECT("SubnetsVLANs!$C$" &amp; $H15 + 2 &amp; ":$C$" &amp; $G$2) &amp; "::" &amp; INDIRECT("SubnetsVLANs!$D$" &amp; $H15 + 2 &amp; ":$D$" &amp; $G$2), MATCH("Subnet*", INDIRECT("SubnetsVLANs!$E$" &amp; $H15 + 2 &amp; ":$E$" &amp; $G$2), 0))), "")</f>
        <v>#REF!</v>
      </c>
      <c r="F15" s="18" t="e">
        <f t="shared" ca="1" si="0"/>
        <v>#REF!</v>
      </c>
      <c r="G15" s="18"/>
      <c r="H15" s="19">
        <v>14</v>
      </c>
      <c r="I15" s="18"/>
      <c r="J15" s="18"/>
      <c r="K15" s="29"/>
      <c r="L15" t="s">
        <v>193</v>
      </c>
      <c r="M15" s="29"/>
      <c r="N15" s="29"/>
      <c r="O15" s="29"/>
      <c r="P15" s="29" t="e" cm="1">
        <f t="array" aca="1" ref="P15" ca="1">IF(COUNTIF(INDIRECT(ADDRESS(3,1,1,1,"DHCP")&amp;":"&amp;ADDRESS(A15,1,4,1)),"*END*")&gt;0,"",INDIRECT(ADDRESS(A15,4,4,1,"DHCP")))</f>
        <v>#REF!</v>
      </c>
      <c r="Q15" s="29"/>
      <c r="R15" s="29" t="e" cm="1">
        <f t="array" aca="1" ref="R15" ca="1">IF(COUNTIF(INDIRECT(ADDRESS(3,1,1,1,"DRGs")&amp;":"&amp;ADDRESS(A15,1,4,1)),"*END*")&gt;0,"",INDIRECT(ADDRESS(A15,3,4,1,"DRGs")))</f>
        <v>#REF!</v>
      </c>
      <c r="S15" s="29"/>
      <c r="T15" s="29"/>
      <c r="U15" s="30"/>
      <c r="V15" s="29"/>
      <c r="W15" s="29"/>
      <c r="X15" s="29"/>
      <c r="Y15" s="29" t="e" cm="1">
        <f t="array" aca="1" ref="Y15" ca="1">IF(COUNTIF(INDIRECT(ADDRESS(3,1,1,1,"DedicatedVMHosts")&amp;":"&amp;ADDRESS(A15,1,4,1)),"*END*")&gt;0,"",INDIRECT(ADDRESS(A15,3,4,1,"DedicatedVMHosts")))</f>
        <v>#REF!</v>
      </c>
      <c r="Z15" s="29" t="e" cm="1">
        <f t="array" aca="1" ref="Z15" ca="1">IF(COUNTIF(INDIRECT(ADDRESS(3,1,1,1,"instances")&amp;":"&amp;ADDRESS(A15,1,4,1)),"*END*")&gt;0,"",INDIRECT(ADDRESS(A15,4,4,1,"instances")))</f>
        <v>#REF!</v>
      </c>
      <c r="AA15" s="29"/>
      <c r="AB15" s="29"/>
      <c r="AC15" s="29"/>
      <c r="AD15" s="29"/>
      <c r="AE15" s="29"/>
      <c r="AF15" s="29"/>
      <c r="AG15" s="29"/>
      <c r="AH15" s="29"/>
      <c r="AI15" s="29"/>
      <c r="AJ15" s="29" t="s">
        <v>67</v>
      </c>
      <c r="AK15" s="32"/>
      <c r="AL15" s="29"/>
      <c r="AM15" s="29"/>
      <c r="AN15" s="29"/>
      <c r="AU15" s="45" t="e">
        <f t="shared" ca="1" si="1"/>
        <v>#REF!</v>
      </c>
    </row>
    <row r="16" spans="1:48" s="28" customFormat="1">
      <c r="A16" s="28">
        <v>17</v>
      </c>
      <c r="B16" s="28" t="e" cm="1">
        <f t="array" aca="1" ref="B16" ca="1">IF(COUNTIF(INDIRECT(ADDRESS(3,1,1,1,"VCNS")&amp;":"&amp;ADDRESS(A16,18,4,1)),"*END*")&gt;0,"","VCN"&amp;"::"&amp;INDIRECT(ADDRESS(A16,3,4,1,"VCNS")))</f>
        <v>#REF!</v>
      </c>
      <c r="C16" s="28" t="e" cm="1">
        <f t="array" aca="1" ref="C16" ca="1">IF(COUNTIF(INDIRECT(ADDRESS(3,1,1,1,"VCNS")&amp;":"&amp;ADDRESS(A16,1,4,1)),"*END*")&gt;0,"",INDIRECT(ADDRESS(A16,3,4,1,"VCNS")))</f>
        <v>#REF!</v>
      </c>
      <c r="E16" s="28" t="e" cm="1">
        <f t="array" aca="1" ref="E16" ca="1">_xlfn.IFNA(IF($H16 + 1 &gt; $G$2, "", INDEX(INDIRECT("SubnetsVLANs!$B$" &amp; $H16 + 2 &amp; ":$B$" &amp; $G$2) &amp; "@" &amp; INDIRECT("SubnetsVLANs!$C$" &amp; $H16 + 2 &amp; ":$C$" &amp; $G$2) &amp; "::" &amp; INDIRECT("SubnetsVLANs!$D$" &amp; $H16 + 2 &amp; ":$D$" &amp; $G$2), MATCH("Subnet*", INDIRECT("SubnetsVLANs!$E$" &amp; $H16 + 2 &amp; ":$E$" &amp; $G$2), 0))), "")</f>
        <v>#REF!</v>
      </c>
      <c r="F16" s="18" t="e">
        <f t="shared" ca="1" si="0"/>
        <v>#REF!</v>
      </c>
      <c r="G16" s="18"/>
      <c r="H16" s="19">
        <v>15</v>
      </c>
      <c r="I16" s="18"/>
      <c r="J16" s="18"/>
      <c r="K16" s="29"/>
      <c r="L16" t="s">
        <v>365</v>
      </c>
      <c r="M16" s="29"/>
      <c r="N16" s="29"/>
      <c r="O16" s="29"/>
      <c r="P16" s="29" t="e" cm="1">
        <f t="array" aca="1" ref="P16" ca="1">IF(COUNTIF(INDIRECT(ADDRESS(3,1,1,1,"DHCP")&amp;":"&amp;ADDRESS(A16,1,4,1)),"*END*")&gt;0,"",INDIRECT(ADDRESS(A16,4,4,1,"DHCP")))</f>
        <v>#REF!</v>
      </c>
      <c r="Q16" s="29"/>
      <c r="R16" s="29" t="e" cm="1">
        <f t="array" aca="1" ref="R16" ca="1">IF(COUNTIF(INDIRECT(ADDRESS(3,1,1,1,"DRGs")&amp;":"&amp;ADDRESS(A16,1,4,1)),"*END*")&gt;0,"",INDIRECT(ADDRESS(A16,3,4,1,"DRGs")))</f>
        <v>#REF!</v>
      </c>
      <c r="S16" s="29"/>
      <c r="T16" s="29"/>
      <c r="U16" s="30"/>
      <c r="V16" s="29"/>
      <c r="W16" s="29"/>
      <c r="X16" s="29"/>
      <c r="Y16" s="29" t="e" cm="1">
        <f t="array" aca="1" ref="Y16" ca="1">IF(COUNTIF(INDIRECT(ADDRESS(3,1,1,1,"DedicatedVMHosts")&amp;":"&amp;ADDRESS(A16,1,4,1)),"*END*")&gt;0,"",INDIRECT(ADDRESS(A16,3,4,1,"DedicatedVMHosts")))</f>
        <v>#REF!</v>
      </c>
      <c r="Z16" s="29" t="e" cm="1">
        <f t="array" aca="1" ref="Z16" ca="1">IF(COUNTIF(INDIRECT(ADDRESS(3,1,1,1,"instances")&amp;":"&amp;ADDRESS(A16,1,4,1)),"*END*")&gt;0,"",INDIRECT(ADDRESS(A16,4,4,1,"instances")))</f>
        <v>#REF!</v>
      </c>
      <c r="AA16" s="29"/>
      <c r="AB16" s="29"/>
      <c r="AC16" s="29"/>
      <c r="AD16" s="29"/>
      <c r="AE16" s="29"/>
      <c r="AF16" s="29"/>
      <c r="AG16" s="29"/>
      <c r="AH16" s="29"/>
      <c r="AI16" s="29"/>
      <c r="AJ16" s="29" t="s">
        <v>68</v>
      </c>
      <c r="AK16" s="32"/>
      <c r="AL16" s="29"/>
      <c r="AM16" s="29"/>
      <c r="AN16" s="29"/>
      <c r="AU16" s="45" t="e">
        <f t="shared" ca="1" si="1"/>
        <v>#REF!</v>
      </c>
    </row>
    <row r="17" spans="1:47" s="28" customFormat="1">
      <c r="A17" s="28">
        <v>18</v>
      </c>
      <c r="B17" s="28" t="e" cm="1">
        <f t="array" aca="1" ref="B17" ca="1">IF(COUNTIF(INDIRECT(ADDRESS(3,1,1,1,"VCNS")&amp;":"&amp;ADDRESS(A17,18,4,1)),"*END*")&gt;0,"","VCN"&amp;"::"&amp;INDIRECT(ADDRESS(A17,3,4,1,"VCNS")))</f>
        <v>#REF!</v>
      </c>
      <c r="C17" s="28" t="e" cm="1">
        <f t="array" aca="1" ref="C17" ca="1">IF(COUNTIF(INDIRECT(ADDRESS(3,1,1,1,"VCNS")&amp;":"&amp;ADDRESS(A17,1,4,1)),"*END*")&gt;0,"",INDIRECT(ADDRESS(A17,3,4,1,"VCNS")))</f>
        <v>#REF!</v>
      </c>
      <c r="E17" s="28" t="e" cm="1">
        <f t="array" aca="1" ref="E17" ca="1">_xlfn.IFNA(IF($H17 + 1 &gt; $G$2, "", INDEX(INDIRECT("SubnetsVLANs!$B$" &amp; $H17 + 2 &amp; ":$B$" &amp; $G$2) &amp; "@" &amp; INDIRECT("SubnetsVLANs!$C$" &amp; $H17 + 2 &amp; ":$C$" &amp; $G$2) &amp; "::" &amp; INDIRECT("SubnetsVLANs!$D$" &amp; $H17 + 2 &amp; ":$D$" &amp; $G$2), MATCH("Subnet*", INDIRECT("SubnetsVLANs!$E$" &amp; $H17 + 2 &amp; ":$E$" &amp; $G$2), 0))), "")</f>
        <v>#REF!</v>
      </c>
      <c r="F17" s="18" t="e">
        <f t="shared" ca="1" si="0"/>
        <v>#REF!</v>
      </c>
      <c r="G17" s="18"/>
      <c r="H17" s="19">
        <v>16</v>
      </c>
      <c r="I17" s="18"/>
      <c r="J17" s="18"/>
      <c r="K17" s="29"/>
      <c r="L17" t="s">
        <v>158</v>
      </c>
      <c r="M17" s="29"/>
      <c r="N17" s="29"/>
      <c r="O17" s="29"/>
      <c r="P17" s="29" t="e" cm="1">
        <f t="array" aca="1" ref="P17" ca="1">IF(COUNTIF(INDIRECT(ADDRESS(3,1,1,1,"DHCP")&amp;":"&amp;ADDRESS(A17,1,4,1)),"*END*")&gt;0,"",INDIRECT(ADDRESS(A17,4,4,1,"DHCP")))</f>
        <v>#REF!</v>
      </c>
      <c r="Q17" s="29"/>
      <c r="R17" s="29" t="e" cm="1">
        <f t="array" aca="1" ref="R17" ca="1">IF(COUNTIF(INDIRECT(ADDRESS(3,1,1,1,"DRGs")&amp;":"&amp;ADDRESS(A17,1,4,1)),"*END*")&gt;0,"",INDIRECT(ADDRESS(A17,3,4,1,"DRGs")))</f>
        <v>#REF!</v>
      </c>
      <c r="S17" s="29"/>
      <c r="T17" s="29"/>
      <c r="U17" s="30"/>
      <c r="V17" s="29"/>
      <c r="W17" s="29"/>
      <c r="X17" s="29"/>
      <c r="Y17" s="29" t="e" cm="1">
        <f t="array" aca="1" ref="Y17" ca="1">IF(COUNTIF(INDIRECT(ADDRESS(3,1,1,1,"DedicatedVMHosts")&amp;":"&amp;ADDRESS(A17,1,4,1)),"*END*")&gt;0,"",INDIRECT(ADDRESS(A17,3,4,1,"DedicatedVMHosts")))</f>
        <v>#REF!</v>
      </c>
      <c r="Z17" s="29" t="e" cm="1">
        <f t="array" aca="1" ref="Z17" ca="1">IF(COUNTIF(INDIRECT(ADDRESS(3,1,1,1,"instances")&amp;":"&amp;ADDRESS(A17,1,4,1)),"*END*")&gt;0,"",INDIRECT(ADDRESS(A17,4,4,1,"instances")))</f>
        <v>#REF!</v>
      </c>
      <c r="AA17" s="29"/>
      <c r="AB17" s="29"/>
      <c r="AC17" s="29"/>
      <c r="AD17" s="29"/>
      <c r="AE17" s="29"/>
      <c r="AF17" s="29"/>
      <c r="AG17" s="29"/>
      <c r="AH17" s="29"/>
      <c r="AI17" s="29"/>
      <c r="AJ17" s="29" t="s">
        <v>69</v>
      </c>
      <c r="AK17" s="32"/>
      <c r="AL17" s="29"/>
      <c r="AM17" s="29"/>
      <c r="AN17" s="29"/>
      <c r="AU17" s="45" t="e">
        <f t="shared" ca="1" si="1"/>
        <v>#REF!</v>
      </c>
    </row>
    <row r="18" spans="1:47" s="28" customFormat="1">
      <c r="A18" s="28">
        <v>19</v>
      </c>
      <c r="B18" s="28" t="e" cm="1">
        <f t="array" aca="1" ref="B18" ca="1">IF(COUNTIF(INDIRECT(ADDRESS(3,1,1,1,"VCNS")&amp;":"&amp;ADDRESS(A18,18,4,1)),"*END*")&gt;0,"","VCN"&amp;"::"&amp;INDIRECT(ADDRESS(A18,3,4,1,"VCNS")))</f>
        <v>#REF!</v>
      </c>
      <c r="C18" s="28" t="e" cm="1">
        <f t="array" aca="1" ref="C18" ca="1">IF(COUNTIF(INDIRECT(ADDRESS(3,1,1,1,"VCNS")&amp;":"&amp;ADDRESS(A18,1,4,1)),"*END*")&gt;0,"",INDIRECT(ADDRESS(A18,3,4,1,"VCNS")))</f>
        <v>#REF!</v>
      </c>
      <c r="E18" s="28" t="e" cm="1">
        <f t="array" aca="1" ref="E18" ca="1">_xlfn.IFNA(IF($H18 + 1 &gt; $G$2, "", INDEX(INDIRECT("SubnetsVLANs!$B$" &amp; $H18 + 2 &amp; ":$B$" &amp; $G$2) &amp; "@" &amp; INDIRECT("SubnetsVLANs!$C$" &amp; $H18 + 2 &amp; ":$C$" &amp; $G$2) &amp; "::" &amp; INDIRECT("SubnetsVLANs!$D$" &amp; $H18 + 2 &amp; ":$D$" &amp; $G$2), MATCH("Subnet*", INDIRECT("SubnetsVLANs!$E$" &amp; $H18 + 2 &amp; ":$E$" &amp; $G$2), 0))), "")</f>
        <v>#REF!</v>
      </c>
      <c r="F18" s="18" t="e">
        <f t="shared" ca="1" si="0"/>
        <v>#REF!</v>
      </c>
      <c r="G18" s="18"/>
      <c r="H18" s="19">
        <v>17</v>
      </c>
      <c r="I18" s="18"/>
      <c r="J18" s="18"/>
      <c r="K18" s="29"/>
      <c r="L18" t="s">
        <v>194</v>
      </c>
      <c r="M18" s="29"/>
      <c r="N18" s="29"/>
      <c r="O18" s="29"/>
      <c r="P18" s="29" t="e" cm="1">
        <f t="array" aca="1" ref="P18" ca="1">IF(COUNTIF(INDIRECT(ADDRESS(3,1,1,1,"DHCP")&amp;":"&amp;ADDRESS(A18,1,4,1)),"*END*")&gt;0,"",INDIRECT(ADDRESS(A18,4,4,1,"DHCP")))</f>
        <v>#REF!</v>
      </c>
      <c r="Q18" s="29"/>
      <c r="R18" s="29" t="e" cm="1">
        <f t="array" aca="1" ref="R18" ca="1">IF(COUNTIF(INDIRECT(ADDRESS(3,1,1,1,"DRGs")&amp;":"&amp;ADDRESS(A18,1,4,1)),"*END*")&gt;0,"",INDIRECT(ADDRESS(A18,3,4,1,"DRGs")))</f>
        <v>#REF!</v>
      </c>
      <c r="S18" s="29"/>
      <c r="T18" s="29"/>
      <c r="U18" s="30"/>
      <c r="V18" s="29"/>
      <c r="W18" s="29"/>
      <c r="X18" s="29"/>
      <c r="Y18" s="29" t="e" cm="1">
        <f t="array" aca="1" ref="Y18" ca="1">IF(COUNTIF(INDIRECT(ADDRESS(3,1,1,1,"DedicatedVMHosts")&amp;":"&amp;ADDRESS(A18,1,4,1)),"*END*")&gt;0,"",INDIRECT(ADDRESS(A18,3,4,1,"DedicatedVMHosts")))</f>
        <v>#REF!</v>
      </c>
      <c r="Z18" s="29" t="e" cm="1">
        <f t="array" aca="1" ref="Z18" ca="1">IF(COUNTIF(INDIRECT(ADDRESS(3,1,1,1,"instances")&amp;":"&amp;ADDRESS(A18,1,4,1)),"*END*")&gt;0,"",INDIRECT(ADDRESS(A18,4,4,1,"instances")))</f>
        <v>#REF!</v>
      </c>
      <c r="AA18" s="29"/>
      <c r="AB18" s="29"/>
      <c r="AC18" s="29"/>
      <c r="AD18" s="29"/>
      <c r="AE18" s="29"/>
      <c r="AF18" s="29"/>
      <c r="AG18" s="29"/>
      <c r="AH18" s="29"/>
      <c r="AI18" s="29"/>
      <c r="AJ18" s="29" t="s">
        <v>70</v>
      </c>
      <c r="AK18" s="32"/>
      <c r="AL18" s="29"/>
      <c r="AM18" s="29"/>
      <c r="AN18" s="29"/>
      <c r="AU18" s="45" t="e">
        <f t="shared" ca="1" si="1"/>
        <v>#REF!</v>
      </c>
    </row>
    <row r="19" spans="1:47" s="28" customFormat="1">
      <c r="A19" s="28">
        <v>20</v>
      </c>
      <c r="B19" s="28" t="e" cm="1">
        <f t="array" aca="1" ref="B19" ca="1">IF(COUNTIF(INDIRECT(ADDRESS(3,1,1,1,"VCNS")&amp;":"&amp;ADDRESS(A19,18,4,1)),"*END*")&gt;0,"","VCN"&amp;"::"&amp;INDIRECT(ADDRESS(A19,3,4,1,"VCNS")))</f>
        <v>#REF!</v>
      </c>
      <c r="C19" s="28" t="e" cm="1">
        <f t="array" aca="1" ref="C19" ca="1">IF(COUNTIF(INDIRECT(ADDRESS(3,1,1,1,"VCNS")&amp;":"&amp;ADDRESS(A19,1,4,1)),"*END*")&gt;0,"",INDIRECT(ADDRESS(A19,3,4,1,"VCNS")))</f>
        <v>#REF!</v>
      </c>
      <c r="E19" s="28" t="e" cm="1">
        <f t="array" aca="1" ref="E19" ca="1">_xlfn.IFNA(IF($H19 + 1 &gt; $G$2, "", INDEX(INDIRECT("SubnetsVLANs!$B$" &amp; $H19 + 2 &amp; ":$B$" &amp; $G$2) &amp; "@" &amp; INDIRECT("SubnetsVLANs!$C$" &amp; $H19 + 2 &amp; ":$C$" &amp; $G$2) &amp; "::" &amp; INDIRECT("SubnetsVLANs!$D$" &amp; $H19 + 2 &amp; ":$D$" &amp; $G$2), MATCH("Subnet*", INDIRECT("SubnetsVLANs!$E$" &amp; $H19 + 2 &amp; ":$E$" &amp; $G$2), 0))), "")</f>
        <v>#REF!</v>
      </c>
      <c r="F19" s="18" t="e">
        <f t="shared" ca="1" si="0"/>
        <v>#REF!</v>
      </c>
      <c r="G19" s="18"/>
      <c r="H19" s="19">
        <v>18</v>
      </c>
      <c r="I19" s="18"/>
      <c r="J19" s="18"/>
      <c r="K19" s="29"/>
      <c r="L19" t="s">
        <v>195</v>
      </c>
      <c r="M19" s="29"/>
      <c r="N19" s="29"/>
      <c r="O19" s="29"/>
      <c r="P19" s="29" t="e" cm="1">
        <f t="array" aca="1" ref="P19" ca="1">IF(COUNTIF(INDIRECT(ADDRESS(3,1,1,1,"DHCP")&amp;":"&amp;ADDRESS(A19,1,4,1)),"*END*")&gt;0,"",INDIRECT(ADDRESS(A19,4,4,1,"DHCP")))</f>
        <v>#REF!</v>
      </c>
      <c r="Q19" s="29"/>
      <c r="R19" s="29" t="e" cm="1">
        <f t="array" aca="1" ref="R19" ca="1">IF(COUNTIF(INDIRECT(ADDRESS(3,1,1,1,"DRGs")&amp;":"&amp;ADDRESS(A19,1,4,1)),"*END*")&gt;0,"",INDIRECT(ADDRESS(A19,3,4,1,"DRGs")))</f>
        <v>#REF!</v>
      </c>
      <c r="S19" s="29"/>
      <c r="T19" s="29"/>
      <c r="U19" s="30"/>
      <c r="V19" s="29"/>
      <c r="W19" s="29"/>
      <c r="X19" s="29"/>
      <c r="Y19" s="29" t="e" cm="1">
        <f t="array" aca="1" ref="Y19" ca="1">IF(COUNTIF(INDIRECT(ADDRESS(3,1,1,1,"DedicatedVMHosts")&amp;":"&amp;ADDRESS(A19,1,4,1)),"*END*")&gt;0,"",INDIRECT(ADDRESS(A19,3,4,1,"DedicatedVMHosts")))</f>
        <v>#REF!</v>
      </c>
      <c r="Z19" s="29" t="e" cm="1">
        <f t="array" aca="1" ref="Z19" ca="1">IF(COUNTIF(INDIRECT(ADDRESS(3,1,1,1,"instances")&amp;":"&amp;ADDRESS(A19,1,4,1)),"*END*")&gt;0,"",INDIRECT(ADDRESS(A19,4,4,1,"instances")))</f>
        <v>#REF!</v>
      </c>
      <c r="AA19" s="29"/>
      <c r="AB19" s="29"/>
      <c r="AC19" s="29"/>
      <c r="AD19" s="29"/>
      <c r="AE19" s="29"/>
      <c r="AF19" s="29"/>
      <c r="AG19" s="29"/>
      <c r="AH19" s="29"/>
      <c r="AI19" s="29"/>
      <c r="AJ19" s="29" t="s">
        <v>71</v>
      </c>
      <c r="AK19" s="32"/>
      <c r="AL19" s="29"/>
      <c r="AM19" s="29"/>
      <c r="AN19" s="29"/>
      <c r="AU19" s="45" t="e">
        <f t="shared" ca="1" si="1"/>
        <v>#REF!</v>
      </c>
    </row>
    <row r="20" spans="1:47" s="28" customFormat="1">
      <c r="A20" s="28">
        <v>21</v>
      </c>
      <c r="B20" s="28" t="e" cm="1">
        <f t="array" aca="1" ref="B20" ca="1">IF(COUNTIF(INDIRECT(ADDRESS(3,1,1,1,"VCNS")&amp;":"&amp;ADDRESS(A20,18,4,1)),"*END*")&gt;0,"","VCN"&amp;"::"&amp;INDIRECT(ADDRESS(A20,3,4,1,"VCNS")))</f>
        <v>#REF!</v>
      </c>
      <c r="C20" s="28" t="e" cm="1">
        <f t="array" aca="1" ref="C20" ca="1">IF(COUNTIF(INDIRECT(ADDRESS(3,1,1,1,"VCNS")&amp;":"&amp;ADDRESS(A20,1,4,1)),"*END*")&gt;0,"",INDIRECT(ADDRESS(A20,3,4,1,"VCNS")))</f>
        <v>#REF!</v>
      </c>
      <c r="E20" s="28" t="e" cm="1">
        <f t="array" aca="1" ref="E20" ca="1">_xlfn.IFNA(IF($H20 + 1 &gt; $G$2, "", INDEX(INDIRECT("SubnetsVLANs!$B$" &amp; $H20 + 2 &amp; ":$B$" &amp; $G$2) &amp; "@" &amp; INDIRECT("SubnetsVLANs!$C$" &amp; $H20 + 2 &amp; ":$C$" &amp; $G$2) &amp; "::" &amp; INDIRECT("SubnetsVLANs!$D$" &amp; $H20 + 2 &amp; ":$D$" &amp; $G$2), MATCH("Subnet*", INDIRECT("SubnetsVLANs!$E$" &amp; $H20 + 2 &amp; ":$E$" &amp; $G$2), 0))), "")</f>
        <v>#REF!</v>
      </c>
      <c r="F20" s="18" t="e">
        <f t="shared" ca="1" si="0"/>
        <v>#REF!</v>
      </c>
      <c r="G20" s="18"/>
      <c r="H20" s="19">
        <v>19</v>
      </c>
      <c r="I20" s="18"/>
      <c r="J20" s="18"/>
      <c r="K20" s="29"/>
      <c r="L20" t="s">
        <v>159</v>
      </c>
      <c r="M20" s="29"/>
      <c r="N20" s="29"/>
      <c r="O20" s="29"/>
      <c r="P20" s="29" t="e" cm="1">
        <f t="array" aca="1" ref="P20" ca="1">IF(COUNTIF(INDIRECT(ADDRESS(3,1,1,1,"DHCP")&amp;":"&amp;ADDRESS(A20,1,4,1)),"*END*")&gt;0,"",INDIRECT(ADDRESS(A20,4,4,1,"DHCP")))</f>
        <v>#REF!</v>
      </c>
      <c r="Q20" s="29"/>
      <c r="R20" s="29" t="e" cm="1">
        <f t="array" aca="1" ref="R20" ca="1">IF(COUNTIF(INDIRECT(ADDRESS(3,1,1,1,"DRGs")&amp;":"&amp;ADDRESS(A20,1,4,1)),"*END*")&gt;0,"",INDIRECT(ADDRESS(A20,3,4,1,"DRGs")))</f>
        <v>#REF!</v>
      </c>
      <c r="S20" s="29"/>
      <c r="T20" s="29"/>
      <c r="U20" s="30"/>
      <c r="V20" s="29"/>
      <c r="W20" s="29"/>
      <c r="X20" s="29"/>
      <c r="Y20" s="29" t="e" cm="1">
        <f t="array" aca="1" ref="Y20" ca="1">IF(COUNTIF(INDIRECT(ADDRESS(3,1,1,1,"DedicatedVMHosts")&amp;":"&amp;ADDRESS(A20,1,4,1)),"*END*")&gt;0,"",INDIRECT(ADDRESS(A20,3,4,1,"DedicatedVMHosts")))</f>
        <v>#REF!</v>
      </c>
      <c r="Z20" s="29" t="e" cm="1">
        <f t="array" aca="1" ref="Z20" ca="1">IF(COUNTIF(INDIRECT(ADDRESS(3,1,1,1,"instances")&amp;":"&amp;ADDRESS(A20,1,4,1)),"*END*")&gt;0,"",INDIRECT(ADDRESS(A20,4,4,1,"instances")))</f>
        <v>#REF!</v>
      </c>
      <c r="AA20" s="29"/>
      <c r="AB20" s="29"/>
      <c r="AC20" s="29"/>
      <c r="AD20" s="29"/>
      <c r="AE20" s="29"/>
      <c r="AF20" s="29"/>
      <c r="AG20" s="29"/>
      <c r="AH20" s="29"/>
      <c r="AI20" s="29"/>
      <c r="AJ20" s="29" t="s">
        <v>72</v>
      </c>
      <c r="AK20" s="32"/>
      <c r="AL20" s="29"/>
      <c r="AM20" s="29"/>
      <c r="AN20" s="29"/>
      <c r="AU20" s="45" t="e">
        <f t="shared" ca="1" si="1"/>
        <v>#REF!</v>
      </c>
    </row>
    <row r="21" spans="1:47" s="28" customFormat="1">
      <c r="A21" s="28">
        <v>22</v>
      </c>
      <c r="B21" s="28" t="e" cm="1">
        <f t="array" aca="1" ref="B21" ca="1">IF(COUNTIF(INDIRECT(ADDRESS(3,1,1,1,"VCNS")&amp;":"&amp;ADDRESS(A21,18,4,1)),"*END*")&gt;0,"","VCN"&amp;"::"&amp;INDIRECT(ADDRESS(A21,3,4,1,"VCNS")))</f>
        <v>#REF!</v>
      </c>
      <c r="C21" s="28" t="e" cm="1">
        <f t="array" aca="1" ref="C21" ca="1">IF(COUNTIF(INDIRECT(ADDRESS(3,1,1,1,"VCNS")&amp;":"&amp;ADDRESS(A21,1,4,1)),"*END*")&gt;0,"",INDIRECT(ADDRESS(A21,3,4,1,"VCNS")))</f>
        <v>#REF!</v>
      </c>
      <c r="E21" s="28" t="e" cm="1">
        <f t="array" aca="1" ref="E21" ca="1">_xlfn.IFNA(IF($H21 + 1 &gt; $G$2, "", INDEX(INDIRECT("SubnetsVLANs!$B$" &amp; $H21 + 2 &amp; ":$B$" &amp; $G$2) &amp; "@" &amp; INDIRECT("SubnetsVLANs!$C$" &amp; $H21 + 2 &amp; ":$C$" &amp; $G$2) &amp; "::" &amp; INDIRECT("SubnetsVLANs!$D$" &amp; $H21 + 2 &amp; ":$D$" &amp; $G$2), MATCH("Subnet*", INDIRECT("SubnetsVLANs!$E$" &amp; $H21 + 2 &amp; ":$E$" &amp; $G$2), 0))), "")</f>
        <v>#REF!</v>
      </c>
      <c r="F21" s="18" t="e">
        <f t="shared" ca="1" si="0"/>
        <v>#REF!</v>
      </c>
      <c r="G21" s="18"/>
      <c r="H21" s="19">
        <v>20</v>
      </c>
      <c r="I21" s="18"/>
      <c r="J21" s="18"/>
      <c r="K21" s="29"/>
      <c r="L21" t="s">
        <v>196</v>
      </c>
      <c r="M21" s="29"/>
      <c r="N21" s="29"/>
      <c r="O21" s="29"/>
      <c r="P21" s="29" t="e" cm="1">
        <f t="array" aca="1" ref="P21" ca="1">IF(COUNTIF(INDIRECT(ADDRESS(3,1,1,1,"DHCP")&amp;":"&amp;ADDRESS(A21,1,4,1)),"*END*")&gt;0,"",INDIRECT(ADDRESS(A21,4,4,1,"DHCP")))</f>
        <v>#REF!</v>
      </c>
      <c r="Q21" s="29"/>
      <c r="R21" s="29" t="e" cm="1">
        <f t="array" aca="1" ref="R21" ca="1">IF(COUNTIF(INDIRECT(ADDRESS(3,1,1,1,"DRGs")&amp;":"&amp;ADDRESS(A21,1,4,1)),"*END*")&gt;0,"",INDIRECT(ADDRESS(A21,3,4,1,"DRGs")))</f>
        <v>#REF!</v>
      </c>
      <c r="S21" s="29"/>
      <c r="T21" s="29"/>
      <c r="U21" s="30"/>
      <c r="V21" s="29"/>
      <c r="W21" s="29"/>
      <c r="X21" s="29"/>
      <c r="Y21" s="29" t="e" cm="1">
        <f t="array" aca="1" ref="Y21" ca="1">IF(COUNTIF(INDIRECT(ADDRESS(3,1,1,1,"DedicatedVMHosts")&amp;":"&amp;ADDRESS(A21,1,4,1)),"*END*")&gt;0,"",INDIRECT(ADDRESS(A21,3,4,1,"DedicatedVMHosts")))</f>
        <v>#REF!</v>
      </c>
      <c r="Z21" s="29" t="e" cm="1">
        <f t="array" aca="1" ref="Z21" ca="1">IF(COUNTIF(INDIRECT(ADDRESS(3,1,1,1,"instances")&amp;":"&amp;ADDRESS(A21,1,4,1)),"*END*")&gt;0,"",INDIRECT(ADDRESS(A21,4,4,1,"instances")))</f>
        <v>#REF!</v>
      </c>
      <c r="AA21" s="29"/>
      <c r="AB21" s="29"/>
      <c r="AC21" s="29"/>
      <c r="AD21" s="29"/>
      <c r="AE21" s="29"/>
      <c r="AF21" s="29"/>
      <c r="AG21" s="29"/>
      <c r="AH21" s="29"/>
      <c r="AI21" s="29"/>
      <c r="AJ21" s="29" t="s">
        <v>73</v>
      </c>
      <c r="AK21" s="32"/>
      <c r="AL21" s="29"/>
      <c r="AM21" s="29"/>
      <c r="AN21" s="29"/>
      <c r="AU21" s="45" t="e">
        <f t="shared" ca="1" si="1"/>
        <v>#REF!</v>
      </c>
    </row>
    <row r="22" spans="1:47" s="28" customFormat="1">
      <c r="A22" s="28">
        <v>23</v>
      </c>
      <c r="B22" s="28" t="e" cm="1">
        <f t="array" aca="1" ref="B22" ca="1">IF(COUNTIF(INDIRECT(ADDRESS(3,1,1,1,"VCNS")&amp;":"&amp;ADDRESS(A22,18,4,1)),"*END*")&gt;0,"","VCN"&amp;"::"&amp;INDIRECT(ADDRESS(A22,3,4,1,"VCNS")))</f>
        <v>#REF!</v>
      </c>
      <c r="C22" s="28" t="e" cm="1">
        <f t="array" aca="1" ref="C22" ca="1">IF(COUNTIF(INDIRECT(ADDRESS(3,1,1,1,"VCNS")&amp;":"&amp;ADDRESS(A22,1,4,1)),"*END*")&gt;0,"",INDIRECT(ADDRESS(A22,3,4,1,"VCNS")))</f>
        <v>#REF!</v>
      </c>
      <c r="E22" s="28" t="e" cm="1">
        <f t="array" aca="1" ref="E22" ca="1">_xlfn.IFNA(IF($H22 + 1 &gt; $G$2, "", INDEX(INDIRECT("SubnetsVLANs!$B$" &amp; $H22 + 2 &amp; ":$B$" &amp; $G$2) &amp; "@" &amp; INDIRECT("SubnetsVLANs!$C$" &amp; $H22 + 2 &amp; ":$C$" &amp; $G$2) &amp; "::" &amp; INDIRECT("SubnetsVLANs!$D$" &amp; $H22 + 2 &amp; ":$D$" &amp; $G$2), MATCH("Subnet*", INDIRECT("SubnetsVLANs!$E$" &amp; $H22 + 2 &amp; ":$E$" &amp; $G$2), 0))), "")</f>
        <v>#REF!</v>
      </c>
      <c r="F22" s="18" t="e">
        <f t="shared" ca="1" si="0"/>
        <v>#REF!</v>
      </c>
      <c r="G22" s="18"/>
      <c r="H22" s="19">
        <v>21</v>
      </c>
      <c r="I22" s="18"/>
      <c r="J22" s="18"/>
      <c r="K22" s="29"/>
      <c r="L22" t="s">
        <v>160</v>
      </c>
      <c r="M22" s="29"/>
      <c r="N22" s="29"/>
      <c r="O22" s="29"/>
      <c r="P22" s="29" t="e" cm="1">
        <f t="array" aca="1" ref="P22" ca="1">IF(COUNTIF(INDIRECT(ADDRESS(3,1,1,1,"DHCP")&amp;":"&amp;ADDRESS(A22,1,4,1)),"*END*")&gt;0,"",INDIRECT(ADDRESS(A22,4,4,1,"DHCP")))</f>
        <v>#REF!</v>
      </c>
      <c r="Q22" s="29"/>
      <c r="R22" s="29" t="e" cm="1">
        <f t="array" aca="1" ref="R22" ca="1">IF(COUNTIF(INDIRECT(ADDRESS(3,1,1,1,"DRGs")&amp;":"&amp;ADDRESS(A22,1,4,1)),"*END*")&gt;0,"",INDIRECT(ADDRESS(A22,3,4,1,"DRGs")))</f>
        <v>#REF!</v>
      </c>
      <c r="S22" s="29"/>
      <c r="T22" s="29"/>
      <c r="U22" s="30"/>
      <c r="V22" s="29"/>
      <c r="W22" s="29"/>
      <c r="X22" s="29"/>
      <c r="Y22" s="29" t="e" cm="1">
        <f t="array" aca="1" ref="Y22" ca="1">IF(COUNTIF(INDIRECT(ADDRESS(3,1,1,1,"DedicatedVMHosts")&amp;":"&amp;ADDRESS(A22,1,4,1)),"*END*")&gt;0,"",INDIRECT(ADDRESS(A22,3,4,1,"DedicatedVMHosts")))</f>
        <v>#REF!</v>
      </c>
      <c r="Z22" s="29" t="e" cm="1">
        <f t="array" aca="1" ref="Z22" ca="1">IF(COUNTIF(INDIRECT(ADDRESS(3,1,1,1,"instances")&amp;":"&amp;ADDRESS(A22,1,4,1)),"*END*")&gt;0,"",INDIRECT(ADDRESS(A22,4,4,1,"instances")))</f>
        <v>#REF!</v>
      </c>
      <c r="AA22" s="29"/>
      <c r="AB22" s="29"/>
      <c r="AC22" s="29"/>
      <c r="AD22" s="29"/>
      <c r="AE22" s="29"/>
      <c r="AF22" s="29"/>
      <c r="AG22" s="29"/>
      <c r="AH22" s="29"/>
      <c r="AI22" s="29"/>
      <c r="AJ22" s="29" t="s">
        <v>74</v>
      </c>
      <c r="AK22" s="32"/>
      <c r="AL22" s="29"/>
      <c r="AM22" s="29"/>
      <c r="AN22" s="29"/>
      <c r="AU22" s="45" t="e">
        <f t="shared" ca="1" si="1"/>
        <v>#REF!</v>
      </c>
    </row>
    <row r="23" spans="1:47" s="28" customFormat="1">
      <c r="A23" s="28">
        <v>24</v>
      </c>
      <c r="B23" s="28" t="e" cm="1">
        <f t="array" aca="1" ref="B23" ca="1">IF(COUNTIF(INDIRECT(ADDRESS(3,1,1,1,"VCNS")&amp;":"&amp;ADDRESS(A23,18,4,1)),"*END*")&gt;0,"","VCN"&amp;"::"&amp;INDIRECT(ADDRESS(A23,3,4,1,"VCNS")))</f>
        <v>#REF!</v>
      </c>
      <c r="C23" s="28" t="e" cm="1">
        <f t="array" aca="1" ref="C23" ca="1">IF(COUNTIF(INDIRECT(ADDRESS(3,1,1,1,"VCNS")&amp;":"&amp;ADDRESS(A23,1,4,1)),"*END*")&gt;0,"",INDIRECT(ADDRESS(A23,3,4,1,"VCNS")))</f>
        <v>#REF!</v>
      </c>
      <c r="E23" s="28" t="e" cm="1">
        <f t="array" aca="1" ref="E23" ca="1">_xlfn.IFNA(IF($H23 + 1 &gt; $G$2, "", INDEX(INDIRECT("SubnetsVLANs!$B$" &amp; $H23 + 2 &amp; ":$B$" &amp; $G$2) &amp; "@" &amp; INDIRECT("SubnetsVLANs!$C$" &amp; $H23 + 2 &amp; ":$C$" &amp; $G$2) &amp; "::" &amp; INDIRECT("SubnetsVLANs!$D$" &amp; $H23 + 2 &amp; ":$D$" &amp; $G$2), MATCH("Subnet*", INDIRECT("SubnetsVLANs!$E$" &amp; $H23 + 2 &amp; ":$E$" &amp; $G$2), 0))), "")</f>
        <v>#REF!</v>
      </c>
      <c r="F23" s="18" t="e">
        <f t="shared" ca="1" si="0"/>
        <v>#REF!</v>
      </c>
      <c r="G23" s="18"/>
      <c r="H23" s="19">
        <v>22</v>
      </c>
      <c r="I23" s="18"/>
      <c r="J23" s="18"/>
      <c r="K23" s="29"/>
      <c r="L23" t="s">
        <v>382</v>
      </c>
      <c r="M23" s="29"/>
      <c r="N23" s="29"/>
      <c r="O23" s="29"/>
      <c r="P23" s="29" t="e" cm="1">
        <f t="array" aca="1" ref="P23" ca="1">IF(COUNTIF(INDIRECT(ADDRESS(3,1,1,1,"DHCP")&amp;":"&amp;ADDRESS(A23,1,4,1)),"*END*")&gt;0,"",INDIRECT(ADDRESS(A23,4,4,1,"DHCP")))</f>
        <v>#REF!</v>
      </c>
      <c r="Q23" s="29"/>
      <c r="R23" s="29" t="e" cm="1">
        <f t="array" aca="1" ref="R23" ca="1">IF(COUNTIF(INDIRECT(ADDRESS(3,1,1,1,"DRGs")&amp;":"&amp;ADDRESS(A23,1,4,1)),"*END*")&gt;0,"",INDIRECT(ADDRESS(A23,3,4,1,"DRGs")))</f>
        <v>#REF!</v>
      </c>
      <c r="S23" s="29"/>
      <c r="T23" s="29"/>
      <c r="U23" s="30"/>
      <c r="V23" s="29"/>
      <c r="W23" s="29"/>
      <c r="X23" s="29"/>
      <c r="Y23" s="29" t="e" cm="1">
        <f t="array" aca="1" ref="Y23" ca="1">IF(COUNTIF(INDIRECT(ADDRESS(3,1,1,1,"DedicatedVMHosts")&amp;":"&amp;ADDRESS(A23,1,4,1)),"*END*")&gt;0,"",INDIRECT(ADDRESS(A23,3,4,1,"DedicatedVMHosts")))</f>
        <v>#REF!</v>
      </c>
      <c r="Z23" s="29" t="e" cm="1">
        <f t="array" aca="1" ref="Z23" ca="1">IF(COUNTIF(INDIRECT(ADDRESS(3,1,1,1,"instances")&amp;":"&amp;ADDRESS(A23,1,4,1)),"*END*")&gt;0,"",INDIRECT(ADDRESS(A23,4,4,1,"instances")))</f>
        <v>#REF!</v>
      </c>
      <c r="AA23" s="29"/>
      <c r="AB23" s="29"/>
      <c r="AC23" s="29"/>
      <c r="AD23" s="29"/>
      <c r="AE23" s="29"/>
      <c r="AF23" s="29"/>
      <c r="AG23" s="29"/>
      <c r="AH23" s="29"/>
      <c r="AI23" s="29"/>
      <c r="AJ23" s="29" t="s">
        <v>75</v>
      </c>
      <c r="AK23" s="32"/>
      <c r="AL23" s="29"/>
      <c r="AM23" s="29"/>
      <c r="AN23" s="29"/>
      <c r="AU23" s="45" t="e">
        <f t="shared" ca="1" si="1"/>
        <v>#REF!</v>
      </c>
    </row>
    <row r="24" spans="1:47" s="28" customFormat="1">
      <c r="A24" s="28">
        <v>25</v>
      </c>
      <c r="B24" s="28" t="e" cm="1">
        <f t="array" aca="1" ref="B24" ca="1">IF(COUNTIF(INDIRECT(ADDRESS(3,1,1,1,"VCNS")&amp;":"&amp;ADDRESS(A24,18,4,1)),"*END*")&gt;0,"","VCN"&amp;"::"&amp;INDIRECT(ADDRESS(A24,3,4,1,"VCNS")))</f>
        <v>#REF!</v>
      </c>
      <c r="C24" s="28" t="e" cm="1">
        <f t="array" aca="1" ref="C24" ca="1">IF(COUNTIF(INDIRECT(ADDRESS(3,1,1,1,"VCNS")&amp;":"&amp;ADDRESS(A24,1,4,1)),"*END*")&gt;0,"",INDIRECT(ADDRESS(A24,3,4,1,"VCNS")))</f>
        <v>#REF!</v>
      </c>
      <c r="E24" s="28" t="e" cm="1">
        <f t="array" aca="1" ref="E24" ca="1">_xlfn.IFNA(IF($H24 + 1 &gt; $G$2, "", INDEX(INDIRECT("SubnetsVLANs!$B$" &amp; $H24 + 2 &amp; ":$B$" &amp; $G$2) &amp; "@" &amp; INDIRECT("SubnetsVLANs!$C$" &amp; $H24 + 2 &amp; ":$C$" &amp; $G$2) &amp; "::" &amp; INDIRECT("SubnetsVLANs!$D$" &amp; $H24 + 2 &amp; ":$D$" &amp; $G$2), MATCH("Subnet*", INDIRECT("SubnetsVLANs!$E$" &amp; $H24 + 2 &amp; ":$E$" &amp; $G$2), 0))), "")</f>
        <v>#REF!</v>
      </c>
      <c r="F24" s="18" t="e">
        <f t="shared" ca="1" si="0"/>
        <v>#REF!</v>
      </c>
      <c r="G24" s="18"/>
      <c r="H24" s="19">
        <v>23</v>
      </c>
      <c r="I24" s="18"/>
      <c r="J24" s="18"/>
      <c r="K24" s="29"/>
      <c r="L24" t="s">
        <v>161</v>
      </c>
      <c r="M24" s="29"/>
      <c r="N24" s="29"/>
      <c r="O24" s="29"/>
      <c r="P24" s="29" t="e" cm="1">
        <f t="array" aca="1" ref="P24" ca="1">IF(COUNTIF(INDIRECT(ADDRESS(3,1,1,1,"DHCP")&amp;":"&amp;ADDRESS(A24,1,4,1)),"*END*")&gt;0,"",INDIRECT(ADDRESS(A24,4,4,1,"DHCP")))</f>
        <v>#REF!</v>
      </c>
      <c r="Q24" s="29"/>
      <c r="R24" s="29" t="e" cm="1">
        <f t="array" aca="1" ref="R24" ca="1">IF(COUNTIF(INDIRECT(ADDRESS(3,1,1,1,"DRGs")&amp;":"&amp;ADDRESS(A24,1,4,1)),"*END*")&gt;0,"",INDIRECT(ADDRESS(A24,3,4,1,"DRGs")))</f>
        <v>#REF!</v>
      </c>
      <c r="S24" s="29"/>
      <c r="T24" s="29"/>
      <c r="U24" s="29"/>
      <c r="V24" s="29"/>
      <c r="W24" s="29"/>
      <c r="X24" s="29"/>
      <c r="Y24" s="29" t="e" cm="1">
        <f t="array" aca="1" ref="Y24" ca="1">IF(COUNTIF(INDIRECT(ADDRESS(3,1,1,1,"DedicatedVMHosts")&amp;":"&amp;ADDRESS(A24,1,4,1)),"*END*")&gt;0,"",INDIRECT(ADDRESS(A24,3,4,1,"DedicatedVMHosts")))</f>
        <v>#REF!</v>
      </c>
      <c r="Z24" s="29" t="e" cm="1">
        <f t="array" aca="1" ref="Z24" ca="1">IF(COUNTIF(INDIRECT(ADDRESS(3,1,1,1,"instances")&amp;":"&amp;ADDRESS(A24,1,4,1)),"*END*")&gt;0,"",INDIRECT(ADDRESS(A24,4,4,1,"instances")))</f>
        <v>#REF!</v>
      </c>
      <c r="AA24" s="29"/>
      <c r="AB24" s="29"/>
      <c r="AC24" s="29"/>
      <c r="AD24" s="29"/>
      <c r="AE24" s="29"/>
      <c r="AF24" s="29"/>
      <c r="AG24" s="29"/>
      <c r="AH24" s="29"/>
      <c r="AI24" s="29"/>
      <c r="AJ24" s="29" t="s">
        <v>76</v>
      </c>
      <c r="AK24" s="32"/>
      <c r="AL24" s="29"/>
      <c r="AM24" s="29"/>
      <c r="AN24" s="29"/>
      <c r="AU24" s="45" t="e">
        <f t="shared" ca="1" si="1"/>
        <v>#REF!</v>
      </c>
    </row>
    <row r="25" spans="1:47" s="28" customFormat="1">
      <c r="A25" s="28">
        <v>26</v>
      </c>
      <c r="B25" s="28" t="e" cm="1">
        <f t="array" aca="1" ref="B25" ca="1">IF(COUNTIF(INDIRECT(ADDRESS(3,1,1,1,"VCNS")&amp;":"&amp;ADDRESS(A25,18,4,1)),"*END*")&gt;0,"","VCN"&amp;"::"&amp;INDIRECT(ADDRESS(A25,3,4,1,"VCNS")))</f>
        <v>#REF!</v>
      </c>
      <c r="C25" s="28" t="e" cm="1">
        <f t="array" aca="1" ref="C25" ca="1">IF(COUNTIF(INDIRECT(ADDRESS(3,1,1,1,"VCNS")&amp;":"&amp;ADDRESS(A25,1,4,1)),"*END*")&gt;0,"",INDIRECT(ADDRESS(A25,3,4,1,"VCNS")))</f>
        <v>#REF!</v>
      </c>
      <c r="E25" s="28" t="e" cm="1">
        <f t="array" aca="1" ref="E25" ca="1">_xlfn.IFNA(IF($H25 + 1 &gt; $G$2, "", INDEX(INDIRECT("SubnetsVLANs!$B$" &amp; $H25 + 2 &amp; ":$B$" &amp; $G$2) &amp; "@" &amp; INDIRECT("SubnetsVLANs!$C$" &amp; $H25 + 2 &amp; ":$C$" &amp; $G$2) &amp; "::" &amp; INDIRECT("SubnetsVLANs!$D$" &amp; $H25 + 2 &amp; ":$D$" &amp; $G$2), MATCH("Subnet*", INDIRECT("SubnetsVLANs!$E$" &amp; $H25 + 2 &amp; ":$E$" &amp; $G$2), 0))), "")</f>
        <v>#REF!</v>
      </c>
      <c r="F25" s="18" t="e">
        <f t="shared" ca="1" si="0"/>
        <v>#REF!</v>
      </c>
      <c r="G25" s="18"/>
      <c r="H25" s="19">
        <v>24</v>
      </c>
      <c r="I25" s="18"/>
      <c r="J25" s="18"/>
      <c r="K25" s="29"/>
      <c r="L25" t="s">
        <v>366</v>
      </c>
      <c r="M25" s="29"/>
      <c r="N25" s="29"/>
      <c r="O25" s="29"/>
      <c r="P25" s="29" t="e" cm="1">
        <f t="array" aca="1" ref="P25" ca="1">IF(COUNTIF(INDIRECT(ADDRESS(3,1,1,1,"DHCP")&amp;":"&amp;ADDRESS(A25,1,4,1)),"*END*")&gt;0,"",INDIRECT(ADDRESS(A25,4,4,1,"DHCP")))</f>
        <v>#REF!</v>
      </c>
      <c r="Q25" s="29"/>
      <c r="R25" s="29" t="e" cm="1">
        <f t="array" aca="1" ref="R25" ca="1">IF(COUNTIF(INDIRECT(ADDRESS(3,1,1,1,"DRGs")&amp;":"&amp;ADDRESS(A25,1,4,1)),"*END*")&gt;0,"",INDIRECT(ADDRESS(A25,3,4,1,"DRGs")))</f>
        <v>#REF!</v>
      </c>
      <c r="S25" s="29"/>
      <c r="T25" s="29"/>
      <c r="U25" s="29"/>
      <c r="V25" s="29"/>
      <c r="W25" s="29"/>
      <c r="X25" s="29"/>
      <c r="Y25" s="29" t="e" cm="1">
        <f t="array" aca="1" ref="Y25" ca="1">IF(COUNTIF(INDIRECT(ADDRESS(3,1,1,1,"DedicatedVMHosts")&amp;":"&amp;ADDRESS(A25,1,4,1)),"*END*")&gt;0,"",INDIRECT(ADDRESS(A25,3,4,1,"DedicatedVMHosts")))</f>
        <v>#REF!</v>
      </c>
      <c r="Z25" s="29" t="e" cm="1">
        <f t="array" aca="1" ref="Z25" ca="1">IF(COUNTIF(INDIRECT(ADDRESS(3,1,1,1,"instances")&amp;":"&amp;ADDRESS(A25,1,4,1)),"*END*")&gt;0,"",INDIRECT(ADDRESS(A25,4,4,1,"instances")))</f>
        <v>#REF!</v>
      </c>
      <c r="AA25" s="29"/>
      <c r="AB25" s="29"/>
      <c r="AC25" s="29"/>
      <c r="AD25" s="29"/>
      <c r="AE25" s="29"/>
      <c r="AF25" s="29"/>
      <c r="AG25" s="29"/>
      <c r="AH25" s="29"/>
      <c r="AI25" s="29"/>
      <c r="AJ25" s="29" t="s">
        <v>77</v>
      </c>
      <c r="AK25" s="32"/>
      <c r="AL25" s="29"/>
      <c r="AM25" s="29"/>
      <c r="AN25" s="29"/>
      <c r="AU25" s="45" t="e">
        <f t="shared" ca="1" si="1"/>
        <v>#REF!</v>
      </c>
    </row>
    <row r="26" spans="1:47" s="28" customFormat="1">
      <c r="A26" s="28">
        <v>27</v>
      </c>
      <c r="B26" s="28" t="e" cm="1">
        <f t="array" aca="1" ref="B26" ca="1">IF(COUNTIF(INDIRECT(ADDRESS(3,1,1,1,"VCNS")&amp;":"&amp;ADDRESS(A26,18,4,1)),"*END*")&gt;0,"","VCN"&amp;"::"&amp;INDIRECT(ADDRESS(A26,3,4,1,"VCNS")))</f>
        <v>#REF!</v>
      </c>
      <c r="C26" s="28" t="e" cm="1">
        <f t="array" aca="1" ref="C26" ca="1">IF(COUNTIF(INDIRECT(ADDRESS(3,1,1,1,"VCNS")&amp;":"&amp;ADDRESS(A26,1,4,1)),"*END*")&gt;0,"",INDIRECT(ADDRESS(A26,3,4,1,"VCNS")))</f>
        <v>#REF!</v>
      </c>
      <c r="E26" s="28" t="e" cm="1">
        <f t="array" aca="1" ref="E26" ca="1">_xlfn.IFNA(IF($H26 + 1 &gt; $G$2, "", INDEX(INDIRECT("SubnetsVLANs!$B$" &amp; $H26 + 2 &amp; ":$B$" &amp; $G$2) &amp; "@" &amp; INDIRECT("SubnetsVLANs!$C$" &amp; $H26 + 2 &amp; ":$C$" &amp; $G$2) &amp; "::" &amp; INDIRECT("SubnetsVLANs!$D$" &amp; $H26 + 2 &amp; ":$D$" &amp; $G$2), MATCH("Subnet*", INDIRECT("SubnetsVLANs!$E$" &amp; $H26 + 2 &amp; ":$E$" &amp; $G$2), 0))), "")</f>
        <v>#REF!</v>
      </c>
      <c r="F26" s="18" t="e">
        <f t="shared" ca="1" si="0"/>
        <v>#REF!</v>
      </c>
      <c r="G26" s="18"/>
      <c r="H26" s="19">
        <v>25</v>
      </c>
      <c r="I26" s="18"/>
      <c r="J26" s="18"/>
      <c r="K26" s="29"/>
      <c r="L26" t="s">
        <v>162</v>
      </c>
      <c r="M26" s="29"/>
      <c r="N26" s="29"/>
      <c r="O26" s="29"/>
      <c r="P26" s="29" t="e" cm="1">
        <f t="array" aca="1" ref="P26" ca="1">IF(COUNTIF(INDIRECT(ADDRESS(3,1,1,1,"DHCP")&amp;":"&amp;ADDRESS(A26,1,4,1)),"*END*")&gt;0,"",INDIRECT(ADDRESS(A26,4,4,1,"DHCP")))</f>
        <v>#REF!</v>
      </c>
      <c r="Q26" s="29"/>
      <c r="R26" s="29" t="e" cm="1">
        <f t="array" aca="1" ref="R26" ca="1">IF(COUNTIF(INDIRECT(ADDRESS(3,1,1,1,"DRGs")&amp;":"&amp;ADDRESS(A26,1,4,1)),"*END*")&gt;0,"",INDIRECT(ADDRESS(A26,3,4,1,"DRGs")))</f>
        <v>#REF!</v>
      </c>
      <c r="S26" s="29"/>
      <c r="T26" s="29"/>
      <c r="U26" s="29"/>
      <c r="V26" s="29"/>
      <c r="W26" s="29"/>
      <c r="X26" s="29"/>
      <c r="Y26" s="29" t="e" cm="1">
        <f t="array" aca="1" ref="Y26" ca="1">IF(COUNTIF(INDIRECT(ADDRESS(3,1,1,1,"DedicatedVMHosts")&amp;":"&amp;ADDRESS(A26,1,4,1)),"*END*")&gt;0,"",INDIRECT(ADDRESS(A26,3,4,1,"DedicatedVMHosts")))</f>
        <v>#REF!</v>
      </c>
      <c r="Z26" s="29" t="e" cm="1">
        <f t="array" aca="1" ref="Z26" ca="1">IF(COUNTIF(INDIRECT(ADDRESS(3,1,1,1,"instances")&amp;":"&amp;ADDRESS(A26,1,4,1)),"*END*")&gt;0,"",INDIRECT(ADDRESS(A26,4,4,1,"instances")))</f>
        <v>#REF!</v>
      </c>
      <c r="AA26" s="29"/>
      <c r="AB26" s="29"/>
      <c r="AC26" s="29"/>
      <c r="AD26" s="29"/>
      <c r="AE26" s="29"/>
      <c r="AF26" s="29"/>
      <c r="AG26" s="29"/>
      <c r="AH26" s="29"/>
      <c r="AI26" s="29"/>
      <c r="AJ26" s="29" t="s">
        <v>78</v>
      </c>
      <c r="AK26" s="32"/>
      <c r="AL26" s="29"/>
      <c r="AM26" s="29"/>
      <c r="AN26" s="29"/>
      <c r="AU26" s="45" t="e">
        <f t="shared" ca="1" si="1"/>
        <v>#REF!</v>
      </c>
    </row>
    <row r="27" spans="1:47" s="28" customFormat="1">
      <c r="A27" s="28">
        <v>28</v>
      </c>
      <c r="B27" s="28" t="e" cm="1">
        <f t="array" aca="1" ref="B27" ca="1">IF(COUNTIF(INDIRECT(ADDRESS(3,1,1,1,"VCNS")&amp;":"&amp;ADDRESS(A27,18,4,1)),"*END*")&gt;0,"","VCN"&amp;"::"&amp;INDIRECT(ADDRESS(A27,3,4,1,"VCNS")))</f>
        <v>#REF!</v>
      </c>
      <c r="C27" s="28" t="e" cm="1">
        <f t="array" aca="1" ref="C27" ca="1">IF(COUNTIF(INDIRECT(ADDRESS(3,1,1,1,"VCNS")&amp;":"&amp;ADDRESS(A27,1,4,1)),"*END*")&gt;0,"",INDIRECT(ADDRESS(A27,3,4,1,"VCNS")))</f>
        <v>#REF!</v>
      </c>
      <c r="E27" s="28" t="e" cm="1">
        <f t="array" aca="1" ref="E27" ca="1">_xlfn.IFNA(IF($H27 + 1 &gt; $G$2, "", INDEX(INDIRECT("SubnetsVLANs!$B$" &amp; $H27 + 2 &amp; ":$B$" &amp; $G$2) &amp; "@" &amp; INDIRECT("SubnetsVLANs!$C$" &amp; $H27 + 2 &amp; ":$C$" &amp; $G$2) &amp; "::" &amp; INDIRECT("SubnetsVLANs!$D$" &amp; $H27 + 2 &amp; ":$D$" &amp; $G$2), MATCH("Subnet*", INDIRECT("SubnetsVLANs!$E$" &amp; $H27 + 2 &amp; ":$E$" &amp; $G$2), 0))), "")</f>
        <v>#REF!</v>
      </c>
      <c r="F27" s="18" t="e">
        <f t="shared" ca="1" si="0"/>
        <v>#REF!</v>
      </c>
      <c r="G27" s="18"/>
      <c r="H27" s="19">
        <v>26</v>
      </c>
      <c r="I27" s="18"/>
      <c r="J27" s="18"/>
      <c r="K27" s="29"/>
      <c r="L27" t="s">
        <v>208</v>
      </c>
      <c r="M27" s="29"/>
      <c r="N27" s="29"/>
      <c r="O27" s="29"/>
      <c r="P27" s="29" t="e" cm="1">
        <f t="array" aca="1" ref="P27" ca="1">IF(COUNTIF(INDIRECT(ADDRESS(3,1,1,1,"DHCP")&amp;":"&amp;ADDRESS(A27,1,4,1)),"*END*")&gt;0,"",INDIRECT(ADDRESS(A27,4,4,1,"DHCP")))</f>
        <v>#REF!</v>
      </c>
      <c r="Q27" s="29"/>
      <c r="R27" s="29" t="e" cm="1">
        <f t="array" aca="1" ref="R27" ca="1">IF(COUNTIF(INDIRECT(ADDRESS(3,1,1,1,"DRGs")&amp;":"&amp;ADDRESS(A27,1,4,1)),"*END*")&gt;0,"",INDIRECT(ADDRESS(A27,3,4,1,"DRGs")))</f>
        <v>#REF!</v>
      </c>
      <c r="S27" s="29"/>
      <c r="T27" s="29"/>
      <c r="U27" s="29"/>
      <c r="V27" s="29"/>
      <c r="W27" s="29"/>
      <c r="X27" s="29"/>
      <c r="Y27" s="29" t="e" cm="1">
        <f t="array" aca="1" ref="Y27" ca="1">IF(COUNTIF(INDIRECT(ADDRESS(3,1,1,1,"DedicatedVMHosts")&amp;":"&amp;ADDRESS(A27,1,4,1)),"*END*")&gt;0,"",INDIRECT(ADDRESS(A27,3,4,1,"DedicatedVMHosts")))</f>
        <v>#REF!</v>
      </c>
      <c r="Z27" s="29" t="e" cm="1">
        <f t="array" aca="1" ref="Z27" ca="1">IF(COUNTIF(INDIRECT(ADDRESS(3,1,1,1,"instances")&amp;":"&amp;ADDRESS(A27,1,4,1)),"*END*")&gt;0,"",INDIRECT(ADDRESS(A27,4,4,1,"instances")))</f>
        <v>#REF!</v>
      </c>
      <c r="AA27" s="29"/>
      <c r="AB27" s="29"/>
      <c r="AC27" s="29"/>
      <c r="AD27" s="29"/>
      <c r="AE27" s="29"/>
      <c r="AF27" s="29"/>
      <c r="AG27" s="29"/>
      <c r="AH27" s="29"/>
      <c r="AI27" s="29"/>
      <c r="AJ27" s="29" t="s">
        <v>79</v>
      </c>
      <c r="AK27" s="32"/>
      <c r="AL27" s="29"/>
      <c r="AM27" s="29"/>
      <c r="AN27" s="29"/>
      <c r="AU27" s="45" t="e">
        <f t="shared" ca="1" si="1"/>
        <v>#REF!</v>
      </c>
    </row>
    <row r="28" spans="1:47" s="28" customFormat="1">
      <c r="A28" s="28">
        <v>29</v>
      </c>
      <c r="B28" s="28" t="e" cm="1">
        <f t="array" aca="1" ref="B28" ca="1">IF(COUNTIF(INDIRECT(ADDRESS(3,1,1,1,"VCNS")&amp;":"&amp;ADDRESS(A28,18,4,1)),"*END*")&gt;0,"","VCN"&amp;"::"&amp;INDIRECT(ADDRESS(A28,3,4,1,"VCNS")))</f>
        <v>#REF!</v>
      </c>
      <c r="C28" s="28" t="e" cm="1">
        <f t="array" aca="1" ref="C28" ca="1">IF(COUNTIF(INDIRECT(ADDRESS(3,1,1,1,"VCNS")&amp;":"&amp;ADDRESS(A28,1,4,1)),"*END*")&gt;0,"",INDIRECT(ADDRESS(A28,3,4,1,"VCNS")))</f>
        <v>#REF!</v>
      </c>
      <c r="E28" s="28" t="e" cm="1">
        <f t="array" aca="1" ref="E28" ca="1">_xlfn.IFNA(IF($H28 + 1 &gt; $G$2, "", INDEX(INDIRECT("SubnetsVLANs!$B$" &amp; $H28 + 2 &amp; ":$B$" &amp; $G$2) &amp; "@" &amp; INDIRECT("SubnetsVLANs!$C$" &amp; $H28 + 2 &amp; ":$C$" &amp; $G$2) &amp; "::" &amp; INDIRECT("SubnetsVLANs!$D$" &amp; $H28 + 2 &amp; ":$D$" &amp; $G$2), MATCH("Subnet*", INDIRECT("SubnetsVLANs!$E$" &amp; $H28 + 2 &amp; ":$E$" &amp; $G$2), 0))), "")</f>
        <v>#REF!</v>
      </c>
      <c r="F28" s="18" t="e">
        <f t="shared" ca="1" si="0"/>
        <v>#REF!</v>
      </c>
      <c r="G28" s="18"/>
      <c r="H28" s="19">
        <v>27</v>
      </c>
      <c r="I28" s="18"/>
      <c r="J28" s="18"/>
      <c r="K28" s="29"/>
      <c r="L28" t="s">
        <v>2</v>
      </c>
      <c r="M28" s="29"/>
      <c r="N28" s="29"/>
      <c r="O28" s="29"/>
      <c r="P28" s="29" t="e" cm="1">
        <f t="array" aca="1" ref="P28" ca="1">IF(COUNTIF(INDIRECT(ADDRESS(3,1,1,1,"DHCP")&amp;":"&amp;ADDRESS(A28,1,4,1)),"*END*")&gt;0,"",INDIRECT(ADDRESS(A28,4,4,1,"DHCP")))</f>
        <v>#REF!</v>
      </c>
      <c r="Q28" s="29"/>
      <c r="R28" s="29" t="e" cm="1">
        <f t="array" aca="1" ref="R28" ca="1">IF(COUNTIF(INDIRECT(ADDRESS(3,1,1,1,"DRGs")&amp;":"&amp;ADDRESS(A28,1,4,1)),"*END*")&gt;0,"",INDIRECT(ADDRESS(A28,3,4,1,"DRGs")))</f>
        <v>#REF!</v>
      </c>
      <c r="S28" s="29"/>
      <c r="T28" s="29"/>
      <c r="U28" s="29"/>
      <c r="V28" s="29"/>
      <c r="W28" s="29"/>
      <c r="X28" s="29"/>
      <c r="Y28" s="29" t="e" cm="1">
        <f t="array" aca="1" ref="Y28" ca="1">IF(COUNTIF(INDIRECT(ADDRESS(3,1,1,1,"DedicatedVMHosts")&amp;":"&amp;ADDRESS(A28,1,4,1)),"*END*")&gt;0,"",INDIRECT(ADDRESS(A28,3,4,1,"DedicatedVMHosts")))</f>
        <v>#REF!</v>
      </c>
      <c r="Z28" s="29" t="e" cm="1">
        <f t="array" aca="1" ref="Z28" ca="1">IF(COUNTIF(INDIRECT(ADDRESS(3,1,1,1,"instances")&amp;":"&amp;ADDRESS(A28,1,4,1)),"*END*")&gt;0,"",INDIRECT(ADDRESS(A28,4,4,1,"instances")))</f>
        <v>#REF!</v>
      </c>
      <c r="AA28" s="29"/>
      <c r="AB28" s="29"/>
      <c r="AC28" s="29"/>
      <c r="AD28" s="29"/>
      <c r="AE28" s="29"/>
      <c r="AF28" s="29"/>
      <c r="AG28" s="29"/>
      <c r="AH28" s="29"/>
      <c r="AI28" s="29"/>
      <c r="AJ28" s="29" t="s">
        <v>80</v>
      </c>
      <c r="AK28" s="32"/>
      <c r="AL28" s="29"/>
      <c r="AM28" s="29"/>
      <c r="AN28" s="29"/>
      <c r="AU28" s="45" t="e">
        <f t="shared" ca="1" si="1"/>
        <v>#REF!</v>
      </c>
    </row>
    <row r="29" spans="1:47" s="28" customFormat="1">
      <c r="A29" s="28">
        <v>30</v>
      </c>
      <c r="B29" s="28" t="e" cm="1">
        <f t="array" aca="1" ref="B29" ca="1">IF(COUNTIF(INDIRECT(ADDRESS(3,1,1,1,"VCNS")&amp;":"&amp;ADDRESS(A29,18,4,1)),"*END*")&gt;0,"","VCN"&amp;"::"&amp;INDIRECT(ADDRESS(A29,3,4,1,"VCNS")))</f>
        <v>#REF!</v>
      </c>
      <c r="C29" s="28" t="e" cm="1">
        <f t="array" aca="1" ref="C29" ca="1">IF(COUNTIF(INDIRECT(ADDRESS(3,1,1,1,"VCNS")&amp;":"&amp;ADDRESS(A29,1,4,1)),"*END*")&gt;0,"",INDIRECT(ADDRESS(A29,3,4,1,"VCNS")))</f>
        <v>#REF!</v>
      </c>
      <c r="F29" s="18" t="e">
        <f t="shared" ca="1" si="0"/>
        <v>#REF!</v>
      </c>
      <c r="G29" s="18"/>
      <c r="H29" s="19">
        <v>28</v>
      </c>
      <c r="I29" s="18"/>
      <c r="J29" s="18"/>
      <c r="K29" s="29"/>
      <c r="L29" t="s">
        <v>197</v>
      </c>
      <c r="M29" s="29"/>
      <c r="N29" s="29"/>
      <c r="O29" s="29"/>
      <c r="P29" s="29" t="e" cm="1">
        <f t="array" aca="1" ref="P29" ca="1">IF(COUNTIF(INDIRECT(ADDRESS(3,1,1,1,"DHCP")&amp;":"&amp;ADDRESS(A29,1,4,1)),"*END*")&gt;0,"",INDIRECT(ADDRESS(A29,4,4,1,"DHCP")))</f>
        <v>#REF!</v>
      </c>
      <c r="Q29" s="29"/>
      <c r="R29" s="29" t="e" cm="1">
        <f t="array" aca="1" ref="R29" ca="1">IF(COUNTIF(INDIRECT(ADDRESS(3,1,1,1,"DRGs")&amp;":"&amp;ADDRESS(A29,1,4,1)),"*END*")&gt;0,"",INDIRECT(ADDRESS(A29,3,4,1,"DRGs")))</f>
        <v>#REF!</v>
      </c>
      <c r="S29" s="29"/>
      <c r="T29" s="29"/>
      <c r="U29" s="29"/>
      <c r="V29" s="29"/>
      <c r="W29" s="29"/>
      <c r="X29" s="29"/>
      <c r="Y29" s="29" t="e" cm="1">
        <f t="array" aca="1" ref="Y29" ca="1">IF(COUNTIF(INDIRECT(ADDRESS(3,1,1,1,"DedicatedVMHosts")&amp;":"&amp;ADDRESS(A29,1,4,1)),"*END*")&gt;0,"",INDIRECT(ADDRESS(A29,3,4,1,"DedicatedVMHosts")))</f>
        <v>#REF!</v>
      </c>
      <c r="Z29" s="29" t="e" cm="1">
        <f t="array" aca="1" ref="Z29" ca="1">IF(COUNTIF(INDIRECT(ADDRESS(3,1,1,1,"instances")&amp;":"&amp;ADDRESS(A29,1,4,1)),"*END*")&gt;0,"",INDIRECT(ADDRESS(A29,4,4,1,"instances")))</f>
        <v>#REF!</v>
      </c>
      <c r="AA29" s="29"/>
      <c r="AB29" s="29"/>
      <c r="AC29" s="29"/>
      <c r="AD29" s="29"/>
      <c r="AE29" s="29"/>
      <c r="AF29" s="29"/>
      <c r="AG29" s="29"/>
      <c r="AH29" s="29"/>
      <c r="AI29" s="29"/>
      <c r="AJ29" s="29" t="s">
        <v>81</v>
      </c>
      <c r="AK29" s="32"/>
      <c r="AL29" s="29"/>
      <c r="AM29" s="29"/>
      <c r="AN29" s="29"/>
      <c r="AU29" s="45" t="e">
        <f t="shared" ca="1" si="1"/>
        <v>#REF!</v>
      </c>
    </row>
    <row r="30" spans="1:47" s="28" customFormat="1">
      <c r="A30" s="28">
        <v>31</v>
      </c>
      <c r="B30" s="28" t="e" cm="1">
        <f t="array" aca="1" ref="B30" ca="1">IF(COUNTIF(INDIRECT(ADDRESS(3,1,1,1,"VCNS")&amp;":"&amp;ADDRESS(A30,18,4,1)),"*END*")&gt;0,"","VCN"&amp;"::"&amp;INDIRECT(ADDRESS(A30,3,4,1,"VCNS")))</f>
        <v>#REF!</v>
      </c>
      <c r="C30" s="28" t="e" cm="1">
        <f t="array" aca="1" ref="C30" ca="1">IF(COUNTIF(INDIRECT(ADDRESS(3,1,1,1,"VCNS")&amp;":"&amp;ADDRESS(A30,1,4,1)),"*END*")&gt;0,"",INDIRECT(ADDRESS(A30,3,4,1,"VCNS")))</f>
        <v>#REF!</v>
      </c>
      <c r="F30" s="18" t="e">
        <f t="shared" ca="1" si="0"/>
        <v>#REF!</v>
      </c>
      <c r="G30" s="18"/>
      <c r="H30" s="19">
        <v>29</v>
      </c>
      <c r="I30" s="18"/>
      <c r="J30" s="18"/>
      <c r="K30" s="29"/>
      <c r="L30" t="s">
        <v>383</v>
      </c>
      <c r="M30" s="29"/>
      <c r="N30" s="29"/>
      <c r="O30" s="29"/>
      <c r="P30" s="29" t="e" cm="1">
        <f t="array" aca="1" ref="P30" ca="1">IF(COUNTIF(INDIRECT(ADDRESS(3,1,1,1,"DHCP")&amp;":"&amp;ADDRESS(A30,1,4,1)),"*END*")&gt;0,"",INDIRECT(ADDRESS(A30,4,4,1,"DHCP")))</f>
        <v>#REF!</v>
      </c>
      <c r="Q30" s="29"/>
      <c r="R30" s="29" t="e" cm="1">
        <f t="array" aca="1" ref="R30" ca="1">IF(COUNTIF(INDIRECT(ADDRESS(3,1,1,1,"DRGs")&amp;":"&amp;ADDRESS(A30,1,4,1)),"*END*")&gt;0,"",INDIRECT(ADDRESS(A30,3,4,1,"DRGs")))</f>
        <v>#REF!</v>
      </c>
      <c r="S30" s="29"/>
      <c r="T30" s="29"/>
      <c r="U30" s="29"/>
      <c r="V30" s="29"/>
      <c r="W30" s="29"/>
      <c r="X30" s="29"/>
      <c r="Y30" s="29" t="e" cm="1">
        <f t="array" aca="1" ref="Y30" ca="1">IF(COUNTIF(INDIRECT(ADDRESS(3,1,1,1,"DedicatedVMHosts")&amp;":"&amp;ADDRESS(A30,1,4,1)),"*END*")&gt;0,"",INDIRECT(ADDRESS(A30,3,4,1,"DedicatedVMHosts")))</f>
        <v>#REF!</v>
      </c>
      <c r="Z30" s="29" t="e" cm="1">
        <f t="array" aca="1" ref="Z30" ca="1">IF(COUNTIF(INDIRECT(ADDRESS(3,1,1,1,"instances")&amp;":"&amp;ADDRESS(A30,1,4,1)),"*END*")&gt;0,"",INDIRECT(ADDRESS(A30,4,4,1,"instances")))</f>
        <v>#REF!</v>
      </c>
      <c r="AA30" s="29"/>
      <c r="AB30" s="29"/>
      <c r="AC30" s="29"/>
      <c r="AD30" s="29"/>
      <c r="AE30" s="29"/>
      <c r="AF30" s="29"/>
      <c r="AG30" s="29"/>
      <c r="AH30" s="29"/>
      <c r="AI30" s="29"/>
      <c r="AJ30" s="29" t="s">
        <v>82</v>
      </c>
      <c r="AK30" s="32"/>
      <c r="AL30" s="29"/>
      <c r="AM30" s="29"/>
      <c r="AN30" s="29"/>
      <c r="AU30" s="45" t="e">
        <f t="shared" ca="1" si="1"/>
        <v>#REF!</v>
      </c>
    </row>
    <row r="31" spans="1:47" s="28" customFormat="1">
      <c r="A31" s="28">
        <v>32</v>
      </c>
      <c r="B31" s="28" t="e" cm="1">
        <f t="array" aca="1" ref="B31" ca="1">IF(COUNTIF(INDIRECT(ADDRESS(3,1,1,1,"VCNS")&amp;":"&amp;ADDRESS(A31,18,4,1)),"*END*")&gt;0,"","VCN"&amp;"::"&amp;INDIRECT(ADDRESS(A31,3,4,1,"VCNS")))</f>
        <v>#REF!</v>
      </c>
      <c r="C31" s="28" t="e" cm="1">
        <f t="array" aca="1" ref="C31" ca="1">IF(COUNTIF(INDIRECT(ADDRESS(3,1,1,1,"VCNS")&amp;":"&amp;ADDRESS(A31,1,4,1)),"*END*")&gt;0,"",INDIRECT(ADDRESS(A31,3,4,1,"VCNS")))</f>
        <v>#REF!</v>
      </c>
      <c r="F31" s="18" t="e">
        <f t="shared" ca="1" si="0"/>
        <v>#REF!</v>
      </c>
      <c r="G31" s="18"/>
      <c r="H31" s="19">
        <v>30</v>
      </c>
      <c r="I31" s="18"/>
      <c r="J31" s="18"/>
      <c r="K31" s="29"/>
      <c r="L31" t="s">
        <v>198</v>
      </c>
      <c r="M31" s="29"/>
      <c r="N31" s="29"/>
      <c r="O31" s="29"/>
      <c r="P31" s="29" t="e" cm="1">
        <f t="array" aca="1" ref="P31" ca="1">IF(COUNTIF(INDIRECT(ADDRESS(3,1,1,1,"DHCP")&amp;":"&amp;ADDRESS(A31,1,4,1)),"*END*")&gt;0,"",INDIRECT(ADDRESS(A31,4,4,1,"DHCP")))</f>
        <v>#REF!</v>
      </c>
      <c r="Q31" s="29"/>
      <c r="R31" s="29" t="e" cm="1">
        <f t="array" aca="1" ref="R31" ca="1">IF(COUNTIF(INDIRECT(ADDRESS(3,1,1,1,"DRGs")&amp;":"&amp;ADDRESS(A31,1,4,1)),"*END*")&gt;0,"",INDIRECT(ADDRESS(A31,3,4,1,"DRGs")))</f>
        <v>#REF!</v>
      </c>
      <c r="S31" s="29"/>
      <c r="T31" s="29"/>
      <c r="U31" s="29"/>
      <c r="V31" s="29"/>
      <c r="W31" s="29"/>
      <c r="X31" s="29"/>
      <c r="Y31" s="29" t="e" cm="1">
        <f t="array" aca="1" ref="Y31" ca="1">IF(COUNTIF(INDIRECT(ADDRESS(3,1,1,1,"DedicatedVMHosts")&amp;":"&amp;ADDRESS(A31,1,4,1)),"*END*")&gt;0,"",INDIRECT(ADDRESS(A31,3,4,1,"DedicatedVMHosts")))</f>
        <v>#REF!</v>
      </c>
      <c r="Z31" s="29" t="e" cm="1">
        <f t="array" aca="1" ref="Z31" ca="1">IF(COUNTIF(INDIRECT(ADDRESS(3,1,1,1,"instances")&amp;":"&amp;ADDRESS(A31,1,4,1)),"*END*")&gt;0,"",INDIRECT(ADDRESS(A31,4,4,1,"instances")))</f>
        <v>#REF!</v>
      </c>
      <c r="AA31" s="29"/>
      <c r="AB31" s="29"/>
      <c r="AC31" s="29"/>
      <c r="AD31" s="29"/>
      <c r="AE31" s="29"/>
      <c r="AF31" s="29"/>
      <c r="AG31" s="29"/>
      <c r="AH31" s="29"/>
      <c r="AI31" s="29"/>
      <c r="AJ31" s="29" t="s">
        <v>83</v>
      </c>
      <c r="AK31" s="32"/>
      <c r="AL31" s="29"/>
      <c r="AM31" s="29"/>
      <c r="AN31" s="29"/>
      <c r="AU31" s="45" t="e">
        <f t="shared" ca="1" si="1"/>
        <v>#REF!</v>
      </c>
    </row>
    <row r="32" spans="1:47" s="28" customFormat="1">
      <c r="A32" s="28">
        <v>33</v>
      </c>
      <c r="B32" s="28" t="e" cm="1">
        <f t="array" aca="1" ref="B32" ca="1">IF(COUNTIF(INDIRECT(ADDRESS(3,1,1,1,"VCNS")&amp;":"&amp;ADDRESS(A32,18,4,1)),"*END*")&gt;0,"","VCN"&amp;"::"&amp;INDIRECT(ADDRESS(A32,3,4,1,"VCNS")))</f>
        <v>#REF!</v>
      </c>
      <c r="C32" s="28" t="e" cm="1">
        <f t="array" aca="1" ref="C32" ca="1">IF(COUNTIF(INDIRECT(ADDRESS(3,1,1,1,"VCNS")&amp;":"&amp;ADDRESS(A32,1,4,1)),"*END*")&gt;0,"",INDIRECT(ADDRESS(A32,3,4,1,"VCNS")))</f>
        <v>#REF!</v>
      </c>
      <c r="F32" s="18" t="e">
        <f t="shared" ca="1" si="0"/>
        <v>#REF!</v>
      </c>
      <c r="G32" s="18"/>
      <c r="H32" s="19">
        <v>31</v>
      </c>
      <c r="I32" s="18"/>
      <c r="J32" s="18"/>
      <c r="K32" s="29"/>
      <c r="L32" t="s">
        <v>163</v>
      </c>
      <c r="M32" s="29"/>
      <c r="N32" s="29"/>
      <c r="O32" s="29"/>
      <c r="P32" s="29" t="e" cm="1">
        <f t="array" aca="1" ref="P32" ca="1">IF(COUNTIF(INDIRECT(ADDRESS(3,1,1,1,"DHCP")&amp;":"&amp;ADDRESS(A32,1,4,1)),"*END*")&gt;0,"",INDIRECT(ADDRESS(A32,4,4,1,"DHCP")))</f>
        <v>#REF!</v>
      </c>
      <c r="Q32" s="29"/>
      <c r="R32" s="29" t="e" cm="1">
        <f t="array" aca="1" ref="R32" ca="1">IF(COUNTIF(INDIRECT(ADDRESS(3,1,1,1,"DRGs")&amp;":"&amp;ADDRESS(A32,1,4,1)),"*END*")&gt;0,"",INDIRECT(ADDRESS(A32,3,4,1,"DRGs")))</f>
        <v>#REF!</v>
      </c>
      <c r="S32" s="29"/>
      <c r="T32" s="29"/>
      <c r="U32" s="29"/>
      <c r="V32" s="29"/>
      <c r="W32" s="29"/>
      <c r="X32" s="29"/>
      <c r="Y32" s="29" t="e" cm="1">
        <f t="array" aca="1" ref="Y32" ca="1">IF(COUNTIF(INDIRECT(ADDRESS(3,1,1,1,"DedicatedVMHosts")&amp;":"&amp;ADDRESS(A32,1,4,1)),"*END*")&gt;0,"",INDIRECT(ADDRESS(A32,3,4,1,"DedicatedVMHosts")))</f>
        <v>#REF!</v>
      </c>
      <c r="Z32" s="29" t="e" cm="1">
        <f t="array" aca="1" ref="Z32" ca="1">IF(COUNTIF(INDIRECT(ADDRESS(3,1,1,1,"instances")&amp;":"&amp;ADDRESS(A32,1,4,1)),"*END*")&gt;0,"",INDIRECT(ADDRESS(A32,4,4,1,"instances")))</f>
        <v>#REF!</v>
      </c>
      <c r="AA32" s="29"/>
      <c r="AB32" s="29"/>
      <c r="AC32" s="29"/>
      <c r="AD32" s="29"/>
      <c r="AE32" s="29"/>
      <c r="AF32" s="29"/>
      <c r="AG32" s="29"/>
      <c r="AH32" s="29"/>
      <c r="AI32" s="29"/>
      <c r="AJ32" s="29" t="s">
        <v>84</v>
      </c>
      <c r="AK32" s="32"/>
      <c r="AL32" s="29"/>
      <c r="AM32" s="29"/>
      <c r="AN32" s="29"/>
      <c r="AU32" s="45" t="e">
        <f t="shared" ca="1" si="1"/>
        <v>#REF!</v>
      </c>
    </row>
    <row r="33" spans="1:47" s="28" customFormat="1">
      <c r="A33" s="28">
        <v>34</v>
      </c>
      <c r="B33" s="28" t="e" cm="1">
        <f t="array" aca="1" ref="B33" ca="1">IF(COUNTIF(INDIRECT(ADDRESS(3,1,1,1,"VCNS")&amp;":"&amp;ADDRESS(A33,18,4,1)),"*END*")&gt;0,"","VCN"&amp;"::"&amp;INDIRECT(ADDRESS(A33,3,4,1,"VCNS")))</f>
        <v>#REF!</v>
      </c>
      <c r="C33" s="28" t="e" cm="1">
        <f t="array" aca="1" ref="C33" ca="1">IF(COUNTIF(INDIRECT(ADDRESS(3,1,1,1,"VCNS")&amp;":"&amp;ADDRESS(A33,1,4,1)),"*END*")&gt;0,"",INDIRECT(ADDRESS(A33,3,4,1,"VCNS")))</f>
        <v>#REF!</v>
      </c>
      <c r="F33" s="18" t="e">
        <f t="shared" ca="1" si="0"/>
        <v>#REF!</v>
      </c>
      <c r="G33" s="18"/>
      <c r="H33" s="19">
        <v>32</v>
      </c>
      <c r="I33" s="18"/>
      <c r="J33" s="18"/>
      <c r="K33" s="29"/>
      <c r="L33" t="s">
        <v>209</v>
      </c>
      <c r="M33" s="29"/>
      <c r="N33" s="29"/>
      <c r="O33" s="29"/>
      <c r="P33" s="29" t="e" cm="1">
        <f t="array" aca="1" ref="P33" ca="1">IF(COUNTIF(INDIRECT(ADDRESS(3,1,1,1,"DHCP")&amp;":"&amp;ADDRESS(A33,1,4,1)),"*END*")&gt;0,"",INDIRECT(ADDRESS(A33,4,4,1,"DHCP")))</f>
        <v>#REF!</v>
      </c>
      <c r="Q33" s="29"/>
      <c r="R33" s="29" t="e" cm="1">
        <f t="array" aca="1" ref="R33" ca="1">IF(COUNTIF(INDIRECT(ADDRESS(3,1,1,1,"DRGs")&amp;":"&amp;ADDRESS(A33,1,4,1)),"*END*")&gt;0,"",INDIRECT(ADDRESS(A33,3,4,1,"DRGs")))</f>
        <v>#REF!</v>
      </c>
      <c r="S33" s="29"/>
      <c r="T33" s="29"/>
      <c r="U33" s="29"/>
      <c r="V33" s="29"/>
      <c r="W33" s="29"/>
      <c r="X33" s="29"/>
      <c r="Y33" s="29" t="e" cm="1">
        <f t="array" aca="1" ref="Y33" ca="1">IF(COUNTIF(INDIRECT(ADDRESS(3,1,1,1,"DedicatedVMHosts")&amp;":"&amp;ADDRESS(A33,1,4,1)),"*END*")&gt;0,"",INDIRECT(ADDRESS(A33,3,4,1,"DedicatedVMHosts")))</f>
        <v>#REF!</v>
      </c>
      <c r="Z33" s="29" t="e" cm="1">
        <f t="array" aca="1" ref="Z33" ca="1">IF(COUNTIF(INDIRECT(ADDRESS(3,1,1,1,"instances")&amp;":"&amp;ADDRESS(A33,1,4,1)),"*END*")&gt;0,"",INDIRECT(ADDRESS(A33,4,4,1,"instances")))</f>
        <v>#REF!</v>
      </c>
      <c r="AA33" s="29"/>
      <c r="AB33" s="29"/>
      <c r="AC33" s="29"/>
      <c r="AD33" s="29"/>
      <c r="AE33" s="29"/>
      <c r="AF33" s="29"/>
      <c r="AG33" s="29"/>
      <c r="AH33" s="29"/>
      <c r="AI33" s="29"/>
      <c r="AJ33" s="29" t="s">
        <v>85</v>
      </c>
      <c r="AK33" s="32"/>
      <c r="AL33" s="29"/>
      <c r="AM33" s="29"/>
      <c r="AN33" s="29"/>
      <c r="AU33" s="45" t="e">
        <f t="shared" ca="1" si="1"/>
        <v>#REF!</v>
      </c>
    </row>
    <row r="34" spans="1:47" s="28" customFormat="1">
      <c r="A34" s="28">
        <v>35</v>
      </c>
      <c r="B34" s="28" t="e" cm="1">
        <f t="array" aca="1" ref="B34" ca="1">IF(COUNTIF(INDIRECT(ADDRESS(3,1,1,1,"VCNS")&amp;":"&amp;ADDRESS(A34,18,4,1)),"*END*")&gt;0,"","VCN"&amp;"::"&amp;INDIRECT(ADDRESS(A34,3,4,1,"VCNS")))</f>
        <v>#REF!</v>
      </c>
      <c r="C34" s="28" t="e" cm="1">
        <f t="array" aca="1" ref="C34" ca="1">IF(COUNTIF(INDIRECT(ADDRESS(3,1,1,1,"VCNS")&amp;":"&amp;ADDRESS(A34,1,4,1)),"*END*")&gt;0,"",INDIRECT(ADDRESS(A34,3,4,1,"VCNS")))</f>
        <v>#REF!</v>
      </c>
      <c r="F34" s="18" t="e">
        <f t="shared" ca="1" si="0"/>
        <v>#REF!</v>
      </c>
      <c r="G34" s="18"/>
      <c r="H34" s="19">
        <v>33</v>
      </c>
      <c r="I34" s="18"/>
      <c r="J34" s="18"/>
      <c r="K34" s="29"/>
      <c r="L34" t="s">
        <v>164</v>
      </c>
      <c r="M34" s="29"/>
      <c r="N34" s="29"/>
      <c r="O34" s="29"/>
      <c r="P34" s="29" t="e" cm="1">
        <f t="array" aca="1" ref="P34" ca="1">IF(COUNTIF(INDIRECT(ADDRESS(3,1,1,1,"DHCP")&amp;":"&amp;ADDRESS(A34,1,4,1)),"*END*")&gt;0,"",INDIRECT(ADDRESS(A34,4,4,1,"DHCP")))</f>
        <v>#REF!</v>
      </c>
      <c r="Q34" s="29"/>
      <c r="R34" s="29" t="e" cm="1">
        <f t="array" aca="1" ref="R34" ca="1">IF(COUNTIF(INDIRECT(ADDRESS(3,1,1,1,"DRGs")&amp;":"&amp;ADDRESS(A34,1,4,1)),"*END*")&gt;0,"",INDIRECT(ADDRESS(A34,3,4,1,"DRGs")))</f>
        <v>#REF!</v>
      </c>
      <c r="S34" s="29"/>
      <c r="T34" s="29"/>
      <c r="U34" s="29"/>
      <c r="V34" s="29"/>
      <c r="W34" s="29"/>
      <c r="X34" s="29"/>
      <c r="Y34" s="29" t="e" cm="1">
        <f t="array" aca="1" ref="Y34" ca="1">IF(COUNTIF(INDIRECT(ADDRESS(3,1,1,1,"DedicatedVMHosts")&amp;":"&amp;ADDRESS(A34,1,4,1)),"*END*")&gt;0,"",INDIRECT(ADDRESS(A34,3,4,1,"DedicatedVMHosts")))</f>
        <v>#REF!</v>
      </c>
      <c r="Z34" s="29" t="e" cm="1">
        <f t="array" aca="1" ref="Z34" ca="1">IF(COUNTIF(INDIRECT(ADDRESS(3,1,1,1,"instances")&amp;":"&amp;ADDRESS(A34,1,4,1)),"*END*")&gt;0,"",INDIRECT(ADDRESS(A34,4,4,1,"instances")))</f>
        <v>#REF!</v>
      </c>
      <c r="AA34" s="29"/>
      <c r="AB34" s="29"/>
      <c r="AC34" s="29"/>
      <c r="AD34" s="29"/>
      <c r="AE34" s="29"/>
      <c r="AF34" s="29"/>
      <c r="AG34" s="29"/>
      <c r="AH34" s="29"/>
      <c r="AI34" s="29"/>
      <c r="AJ34" s="29" t="s">
        <v>32</v>
      </c>
      <c r="AK34" s="32"/>
      <c r="AL34" s="29"/>
      <c r="AM34" s="29"/>
      <c r="AN34" s="29"/>
      <c r="AU34" s="45" t="e">
        <f t="shared" ca="1" si="1"/>
        <v>#REF!</v>
      </c>
    </row>
    <row r="35" spans="1:47" s="28" customFormat="1">
      <c r="A35" s="28">
        <v>36</v>
      </c>
      <c r="B35" s="28" t="e" cm="1">
        <f t="array" aca="1" ref="B35" ca="1">IF(COUNTIF(INDIRECT(ADDRESS(3,1,1,1,"VCNS")&amp;":"&amp;ADDRESS(A35,18,4,1)),"*END*")&gt;0,"","VCN"&amp;"::"&amp;INDIRECT(ADDRESS(A35,3,4,1,"VCNS")))</f>
        <v>#REF!</v>
      </c>
      <c r="C35" s="28" t="e" cm="1">
        <f t="array" aca="1" ref="C35" ca="1">IF(COUNTIF(INDIRECT(ADDRESS(3,1,1,1,"VCNS")&amp;":"&amp;ADDRESS(A35,1,4,1)),"*END*")&gt;0,"",INDIRECT(ADDRESS(A35,3,4,1,"VCNS")))</f>
        <v>#REF!</v>
      </c>
      <c r="F35" s="18" t="e">
        <f t="shared" ca="1" si="0"/>
        <v>#REF!</v>
      </c>
      <c r="G35" s="18"/>
      <c r="H35" s="19">
        <v>34</v>
      </c>
      <c r="I35" s="18"/>
      <c r="J35" s="18"/>
      <c r="K35" s="29"/>
      <c r="L35" t="s">
        <v>458</v>
      </c>
      <c r="M35" s="29"/>
      <c r="N35" s="29"/>
      <c r="O35" s="29"/>
      <c r="P35" s="29" t="e" cm="1">
        <f t="array" aca="1" ref="P35" ca="1">IF(COUNTIF(INDIRECT(ADDRESS(3,1,1,1,"DHCP")&amp;":"&amp;ADDRESS(A35,1,4,1)),"*END*")&gt;0,"",INDIRECT(ADDRESS(A35,4,4,1,"DHCP")))</f>
        <v>#REF!</v>
      </c>
      <c r="Q35" s="29"/>
      <c r="R35" s="29" t="e" cm="1">
        <f t="array" aca="1" ref="R35" ca="1">IF(COUNTIF(INDIRECT(ADDRESS(3,1,1,1,"DRGs")&amp;":"&amp;ADDRESS(A35,1,4,1)),"*END*")&gt;0,"",INDIRECT(ADDRESS(A35,3,4,1,"DRGs")))</f>
        <v>#REF!</v>
      </c>
      <c r="S35" s="29"/>
      <c r="T35" s="29"/>
      <c r="U35" s="29"/>
      <c r="V35" s="29"/>
      <c r="W35" s="29"/>
      <c r="X35" s="29"/>
      <c r="Y35" s="29" t="e" cm="1">
        <f t="array" aca="1" ref="Y35" ca="1">IF(COUNTIF(INDIRECT(ADDRESS(3,1,1,1,"DedicatedVMHosts")&amp;":"&amp;ADDRESS(A35,1,4,1)),"*END*")&gt;0,"",INDIRECT(ADDRESS(A35,3,4,1,"DedicatedVMHosts")))</f>
        <v>#REF!</v>
      </c>
      <c r="Z35" s="29" t="e" cm="1">
        <f t="array" aca="1" ref="Z35" ca="1">IF(COUNTIF(INDIRECT(ADDRESS(3,1,1,1,"instances")&amp;":"&amp;ADDRESS(A35,1,4,1)),"*END*")&gt;0,"",INDIRECT(ADDRESS(A35,4,4,1,"instances")))</f>
        <v>#REF!</v>
      </c>
      <c r="AA35" s="29"/>
      <c r="AB35" s="29"/>
      <c r="AC35" s="29"/>
      <c r="AD35" s="29"/>
      <c r="AE35" s="29"/>
      <c r="AF35" s="29"/>
      <c r="AG35" s="29"/>
      <c r="AH35" s="29"/>
      <c r="AI35" s="29"/>
      <c r="AJ35" s="29" t="s">
        <v>86</v>
      </c>
      <c r="AK35" s="32"/>
      <c r="AL35" s="29"/>
      <c r="AM35" s="29"/>
      <c r="AN35" s="29"/>
      <c r="AU35" s="45" t="e">
        <f t="shared" ca="1" si="1"/>
        <v>#REF!</v>
      </c>
    </row>
    <row r="36" spans="1:47" s="28" customFormat="1">
      <c r="F36" s="18"/>
      <c r="G36" s="18"/>
      <c r="H36" s="19"/>
      <c r="I36" s="18"/>
      <c r="J36" s="18"/>
      <c r="K36" s="29"/>
      <c r="L36" t="s">
        <v>459</v>
      </c>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32"/>
      <c r="AL36" s="29"/>
      <c r="AM36" s="29"/>
      <c r="AN36" s="29"/>
      <c r="AU36" s="45"/>
    </row>
    <row r="37" spans="1:47" s="28" customFormat="1">
      <c r="A37" s="28">
        <v>37</v>
      </c>
      <c r="B37" s="28" t="e" cm="1">
        <f t="array" aca="1" ref="B37" ca="1">IF(COUNTIF(INDIRECT(ADDRESS(3,1,1,1,"VCNS")&amp;":"&amp;ADDRESS(A37,18,4,1)),"*END*")&gt;0,"","VCN"&amp;"::"&amp;INDIRECT(ADDRESS(A37,3,4,1,"VCNS")))</f>
        <v>#REF!</v>
      </c>
      <c r="C37" s="28" t="e" cm="1">
        <f t="array" aca="1" ref="C37" ca="1">IF(COUNTIF(INDIRECT(ADDRESS(3,1,1,1,"VCNS")&amp;":"&amp;ADDRESS(A37,1,4,1)),"*END*")&gt;0,"",INDIRECT(ADDRESS(A37,3,4,1,"VCNS")))</f>
        <v>#REF!</v>
      </c>
      <c r="F37" s="18" t="e">
        <f t="shared" ca="1" si="0"/>
        <v>#REF!</v>
      </c>
      <c r="G37" s="18"/>
      <c r="H37" s="19">
        <v>35</v>
      </c>
      <c r="I37" s="18"/>
      <c r="J37" s="18"/>
      <c r="K37" s="29"/>
      <c r="L37" t="s">
        <v>210</v>
      </c>
      <c r="M37" s="29"/>
      <c r="N37" s="29"/>
      <c r="O37" s="29"/>
      <c r="P37" s="29" t="e" cm="1">
        <f t="array" aca="1" ref="P37" ca="1">IF(COUNTIF(INDIRECT(ADDRESS(3,1,1,1,"DHCP")&amp;":"&amp;ADDRESS(A37,1,4,1)),"*END*")&gt;0,"",INDIRECT(ADDRESS(A37,4,4,1,"DHCP")))</f>
        <v>#REF!</v>
      </c>
      <c r="Q37" s="29"/>
      <c r="R37" s="29" t="e" cm="1">
        <f t="array" aca="1" ref="R37" ca="1">IF(COUNTIF(INDIRECT(ADDRESS(3,1,1,1,"DRGs")&amp;":"&amp;ADDRESS(A37,1,4,1)),"*END*")&gt;0,"",INDIRECT(ADDRESS(A37,3,4,1,"DRGs")))</f>
        <v>#REF!</v>
      </c>
      <c r="S37" s="29"/>
      <c r="T37" s="29"/>
      <c r="U37" s="29"/>
      <c r="V37" s="29"/>
      <c r="W37" s="29"/>
      <c r="X37" s="29"/>
      <c r="Y37" s="29" t="e" cm="1">
        <f t="array" aca="1" ref="Y37" ca="1">IF(COUNTIF(INDIRECT(ADDRESS(3,1,1,1,"DedicatedVMHosts")&amp;":"&amp;ADDRESS(A37,1,4,1)),"*END*")&gt;0,"",INDIRECT(ADDRESS(A37,3,4,1,"DedicatedVMHosts")))</f>
        <v>#REF!</v>
      </c>
      <c r="Z37" s="29" t="e" cm="1">
        <f t="array" aca="1" ref="Z37" ca="1">IF(COUNTIF(INDIRECT(ADDRESS(3,1,1,1,"instances")&amp;":"&amp;ADDRESS(A37,1,4,1)),"*END*")&gt;0,"",INDIRECT(ADDRESS(A37,4,4,1,"instances")))</f>
        <v>#REF!</v>
      </c>
      <c r="AA37" s="29"/>
      <c r="AB37" s="29"/>
      <c r="AC37" s="29"/>
      <c r="AD37" s="29"/>
      <c r="AE37" s="29"/>
      <c r="AF37" s="29"/>
      <c r="AG37" s="29"/>
      <c r="AH37" s="29"/>
      <c r="AI37" s="29"/>
      <c r="AJ37" s="29" t="s">
        <v>30</v>
      </c>
      <c r="AK37" s="32"/>
      <c r="AL37" s="29"/>
      <c r="AM37" s="29"/>
      <c r="AN37" s="29"/>
      <c r="AU37" s="45" t="e">
        <f t="shared" ca="1" si="1"/>
        <v>#REF!</v>
      </c>
    </row>
    <row r="38" spans="1:47" s="28" customFormat="1">
      <c r="A38" s="28">
        <v>38</v>
      </c>
      <c r="B38" s="28" t="e" cm="1">
        <f t="array" aca="1" ref="B38" ca="1">IF(COUNTIF(INDIRECT(ADDRESS(3,1,1,1,"VCNS")&amp;":"&amp;ADDRESS(A38,18,4,1)),"*END*")&gt;0,"","VCN"&amp;"::"&amp;INDIRECT(ADDRESS(A38,3,4,1,"VCNS")))</f>
        <v>#REF!</v>
      </c>
      <c r="C38" s="28" t="e" cm="1">
        <f t="array" aca="1" ref="C38" ca="1">IF(COUNTIF(INDIRECT(ADDRESS(3,1,1,1,"VCNS")&amp;":"&amp;ADDRESS(A38,1,4,1)),"*END*")&gt;0,"",INDIRECT(ADDRESS(A38,3,4,1,"VCNS")))</f>
        <v>#REF!</v>
      </c>
      <c r="F38" s="18" t="e">
        <f t="shared" ca="1" si="0"/>
        <v>#REF!</v>
      </c>
      <c r="G38" s="18"/>
      <c r="H38" s="19">
        <v>36</v>
      </c>
      <c r="I38" s="18"/>
      <c r="J38" s="18"/>
      <c r="K38" s="29"/>
      <c r="L38" t="s">
        <v>165</v>
      </c>
      <c r="M38" s="29"/>
      <c r="N38" s="29"/>
      <c r="O38" s="29"/>
      <c r="P38" s="29" t="e" cm="1">
        <f t="array" aca="1" ref="P38" ca="1">IF(COUNTIF(INDIRECT(ADDRESS(3,1,1,1,"DHCP")&amp;":"&amp;ADDRESS(A38,1,4,1)),"*END*")&gt;0,"",INDIRECT(ADDRESS(A38,4,4,1,"DHCP")))</f>
        <v>#REF!</v>
      </c>
      <c r="Q38" s="29"/>
      <c r="R38" s="29" t="e" cm="1">
        <f t="array" aca="1" ref="R38" ca="1">IF(COUNTIF(INDIRECT(ADDRESS(3,1,1,1,"DRGs")&amp;":"&amp;ADDRESS(A38,1,4,1)),"*END*")&gt;0,"",INDIRECT(ADDRESS(A38,3,4,1,"DRGs")))</f>
        <v>#REF!</v>
      </c>
      <c r="S38" s="29"/>
      <c r="T38" s="29"/>
      <c r="U38" s="29"/>
      <c r="V38" s="29"/>
      <c r="W38" s="29"/>
      <c r="X38" s="29"/>
      <c r="Y38" s="29" t="e" cm="1">
        <f t="array" aca="1" ref="Y38" ca="1">IF(COUNTIF(INDIRECT(ADDRESS(3,1,1,1,"DedicatedVMHosts")&amp;":"&amp;ADDRESS(A38,1,4,1)),"*END*")&gt;0,"",INDIRECT(ADDRESS(A38,3,4,1,"DedicatedVMHosts")))</f>
        <v>#REF!</v>
      </c>
      <c r="Z38" s="29" t="e" cm="1">
        <f t="array" aca="1" ref="Z38" ca="1">IF(COUNTIF(INDIRECT(ADDRESS(3,1,1,1,"instances")&amp;":"&amp;ADDRESS(A38,1,4,1)),"*END*")&gt;0,"",INDIRECT(ADDRESS(A38,4,4,1,"instances")))</f>
        <v>#REF!</v>
      </c>
      <c r="AA38" s="29"/>
      <c r="AB38" s="29"/>
      <c r="AC38" s="29"/>
      <c r="AD38" s="29"/>
      <c r="AE38" s="29"/>
      <c r="AF38" s="29"/>
      <c r="AG38" s="29"/>
      <c r="AH38" s="29"/>
      <c r="AI38" s="29"/>
      <c r="AJ38" s="29" t="s">
        <v>87</v>
      </c>
      <c r="AK38" s="32"/>
      <c r="AL38" s="29"/>
      <c r="AM38" s="29"/>
      <c r="AN38" s="29"/>
      <c r="AU38" s="45" t="e">
        <f t="shared" ca="1" si="1"/>
        <v>#REF!</v>
      </c>
    </row>
    <row r="39" spans="1:47" s="28" customFormat="1">
      <c r="A39" s="28">
        <v>39</v>
      </c>
      <c r="B39" s="28" t="e" cm="1">
        <f t="array" aca="1" ref="B39" ca="1">IF(COUNTIF(INDIRECT(ADDRESS(3,1,1,1,"VCNS")&amp;":"&amp;ADDRESS(A39,18,4,1)),"*END*")&gt;0,"","VCN"&amp;"::"&amp;INDIRECT(ADDRESS(A39,3,4,1,"VCNS")))</f>
        <v>#REF!</v>
      </c>
      <c r="C39" s="28" t="e" cm="1">
        <f t="array" aca="1" ref="C39" ca="1">IF(COUNTIF(INDIRECT(ADDRESS(3,1,1,1,"VCNS")&amp;":"&amp;ADDRESS(A39,1,4,1)),"*END*")&gt;0,"",INDIRECT(ADDRESS(A39,3,4,1,"VCNS")))</f>
        <v>#REF!</v>
      </c>
      <c r="F39" s="18" t="e">
        <f t="shared" ca="1" si="0"/>
        <v>#REF!</v>
      </c>
      <c r="G39" s="18"/>
      <c r="H39" s="19">
        <v>37</v>
      </c>
      <c r="I39" s="18"/>
      <c r="J39" s="18"/>
      <c r="K39" s="29"/>
      <c r="L39" t="s">
        <v>166</v>
      </c>
      <c r="M39" s="29"/>
      <c r="N39" s="29"/>
      <c r="O39" s="29"/>
      <c r="P39" s="29" t="e" cm="1">
        <f t="array" aca="1" ref="P39" ca="1">IF(COUNTIF(INDIRECT(ADDRESS(3,1,1,1,"DHCP")&amp;":"&amp;ADDRESS(A39,1,4,1)),"*END*")&gt;0,"",INDIRECT(ADDRESS(A39,4,4,1,"DHCP")))</f>
        <v>#REF!</v>
      </c>
      <c r="Q39" s="29"/>
      <c r="R39" s="29" t="e" cm="1">
        <f t="array" aca="1" ref="R39" ca="1">IF(COUNTIF(INDIRECT(ADDRESS(3,1,1,1,"DRGs")&amp;":"&amp;ADDRESS(A39,1,4,1)),"*END*")&gt;0,"",INDIRECT(ADDRESS(A39,3,4,1,"DRGs")))</f>
        <v>#REF!</v>
      </c>
      <c r="S39" s="29"/>
      <c r="T39" s="29"/>
      <c r="U39" s="29"/>
      <c r="V39" s="29"/>
      <c r="W39" s="29"/>
      <c r="X39" s="29"/>
      <c r="Y39" s="29" t="e" cm="1">
        <f t="array" aca="1" ref="Y39" ca="1">IF(COUNTIF(INDIRECT(ADDRESS(3,1,1,1,"DedicatedVMHosts")&amp;":"&amp;ADDRESS(A39,1,4,1)),"*END*")&gt;0,"",INDIRECT(ADDRESS(A39,3,4,1,"DedicatedVMHosts")))</f>
        <v>#REF!</v>
      </c>
      <c r="Z39" s="29" t="e" cm="1">
        <f t="array" aca="1" ref="Z39" ca="1">IF(COUNTIF(INDIRECT(ADDRESS(3,1,1,1,"instances")&amp;":"&amp;ADDRESS(A39,1,4,1)),"*END*")&gt;0,"",INDIRECT(ADDRESS(A39,4,4,1,"instances")))</f>
        <v>#REF!</v>
      </c>
      <c r="AA39" s="29"/>
      <c r="AB39" s="29"/>
      <c r="AC39" s="29"/>
      <c r="AD39" s="29"/>
      <c r="AE39" s="29"/>
      <c r="AF39" s="29"/>
      <c r="AG39" s="29"/>
      <c r="AH39" s="29"/>
      <c r="AI39" s="29"/>
      <c r="AJ39" s="29" t="s">
        <v>31</v>
      </c>
      <c r="AK39" s="32"/>
      <c r="AL39" s="29"/>
      <c r="AM39" s="29"/>
      <c r="AN39" s="29"/>
      <c r="AU39" s="45" t="e">
        <f t="shared" ca="1" si="1"/>
        <v>#REF!</v>
      </c>
    </row>
    <row r="40" spans="1:47" s="28" customFormat="1">
      <c r="A40" s="28">
        <v>40</v>
      </c>
      <c r="B40" s="28" t="e" cm="1">
        <f t="array" aca="1" ref="B40" ca="1">IF(COUNTIF(INDIRECT(ADDRESS(3,1,1,1,"VCNS")&amp;":"&amp;ADDRESS(A40,18,4,1)),"*END*")&gt;0,"","VCN"&amp;"::"&amp;INDIRECT(ADDRESS(A40,3,4,1,"VCNS")))</f>
        <v>#REF!</v>
      </c>
      <c r="C40" s="28" t="e" cm="1">
        <f t="array" aca="1" ref="C40" ca="1">IF(COUNTIF(INDIRECT(ADDRESS(3,1,1,1,"VCNS")&amp;":"&amp;ADDRESS(A40,1,4,1)),"*END*")&gt;0,"",INDIRECT(ADDRESS(A40,3,4,1,"VCNS")))</f>
        <v>#REF!</v>
      </c>
      <c r="F40" s="18" t="e">
        <f t="shared" ca="1" si="0"/>
        <v>#REF!</v>
      </c>
      <c r="G40" s="18"/>
      <c r="H40" s="19">
        <v>38</v>
      </c>
      <c r="I40" s="18"/>
      <c r="J40" s="18"/>
      <c r="K40" s="29"/>
      <c r="L40" t="s">
        <v>167</v>
      </c>
      <c r="M40" s="29"/>
      <c r="N40" s="29"/>
      <c r="O40" s="29"/>
      <c r="P40" s="29" t="e" cm="1">
        <f t="array" aca="1" ref="P40" ca="1">IF(COUNTIF(INDIRECT(ADDRESS(3,1,1,1,"DHCP")&amp;":"&amp;ADDRESS(A40,1,4,1)),"*END*")&gt;0,"",INDIRECT(ADDRESS(A40,4,4,1,"DHCP")))</f>
        <v>#REF!</v>
      </c>
      <c r="Q40" s="29"/>
      <c r="R40" s="29" t="e" cm="1">
        <f t="array" aca="1" ref="R40" ca="1">IF(COUNTIF(INDIRECT(ADDRESS(3,1,1,1,"DRGs")&amp;":"&amp;ADDRESS(A40,1,4,1)),"*END*")&gt;0,"",INDIRECT(ADDRESS(A40,3,4,1,"DRGs")))</f>
        <v>#REF!</v>
      </c>
      <c r="S40" s="29"/>
      <c r="T40" s="29"/>
      <c r="U40" s="29"/>
      <c r="V40" s="29"/>
      <c r="W40" s="29"/>
      <c r="X40" s="29"/>
      <c r="Y40" s="29" t="e" cm="1">
        <f t="array" aca="1" ref="Y40" ca="1">IF(COUNTIF(INDIRECT(ADDRESS(3,1,1,1,"DedicatedVMHosts")&amp;":"&amp;ADDRESS(A40,1,4,1)),"*END*")&gt;0,"",INDIRECT(ADDRESS(A40,3,4,1,"DedicatedVMHosts")))</f>
        <v>#REF!</v>
      </c>
      <c r="Z40" s="29" t="e" cm="1">
        <f t="array" aca="1" ref="Z40" ca="1">IF(COUNTIF(INDIRECT(ADDRESS(3,1,1,1,"instances")&amp;":"&amp;ADDRESS(A40,1,4,1)),"*END*")&gt;0,"",INDIRECT(ADDRESS(A40,4,4,1,"instances")))</f>
        <v>#REF!</v>
      </c>
      <c r="AA40" s="29"/>
      <c r="AB40" s="29"/>
      <c r="AC40" s="29"/>
      <c r="AD40" s="29"/>
      <c r="AE40" s="29"/>
      <c r="AF40" s="29"/>
      <c r="AG40" s="29"/>
      <c r="AH40" s="29"/>
      <c r="AI40" s="29"/>
      <c r="AJ40" s="29" t="s">
        <v>88</v>
      </c>
      <c r="AK40" s="32"/>
      <c r="AL40" s="29"/>
      <c r="AM40" s="29"/>
      <c r="AN40" s="29"/>
      <c r="AU40" s="45" t="e">
        <f t="shared" ca="1" si="1"/>
        <v>#REF!</v>
      </c>
    </row>
    <row r="41" spans="1:47" s="28" customFormat="1">
      <c r="A41" s="28">
        <v>41</v>
      </c>
      <c r="B41" s="28" t="e" cm="1">
        <f t="array" aca="1" ref="B41" ca="1">IF(COUNTIF(INDIRECT(ADDRESS(3,1,1,1,"VCNS")&amp;":"&amp;ADDRESS(A41,18,4,1)),"*END*")&gt;0,"","VCN"&amp;"::"&amp;INDIRECT(ADDRESS(A41,3,4,1,"VCNS")))</f>
        <v>#REF!</v>
      </c>
      <c r="C41" s="28" t="e" cm="1">
        <f t="array" aca="1" ref="C41" ca="1">IF(COUNTIF(INDIRECT(ADDRESS(3,1,1,1,"VCNS")&amp;":"&amp;ADDRESS(A41,1,4,1)),"*END*")&gt;0,"",INDIRECT(ADDRESS(A41,3,4,1,"VCNS")))</f>
        <v>#REF!</v>
      </c>
      <c r="F41" s="18" t="e">
        <f t="shared" ca="1" si="0"/>
        <v>#REF!</v>
      </c>
      <c r="G41" s="18"/>
      <c r="H41" s="19">
        <v>39</v>
      </c>
      <c r="I41" s="18"/>
      <c r="J41" s="18"/>
      <c r="K41" s="29"/>
      <c r="L41" s="34" t="s">
        <v>380</v>
      </c>
      <c r="M41" s="29"/>
      <c r="N41" s="29"/>
      <c r="O41" s="29"/>
      <c r="P41" s="29" t="e" cm="1">
        <f t="array" aca="1" ref="P41" ca="1">IF(COUNTIF(INDIRECT(ADDRESS(3,1,1,1,"DHCP")&amp;":"&amp;ADDRESS(A41,1,4,1)),"*END*")&gt;0,"",INDIRECT(ADDRESS(A41,4,4,1,"DHCP")))</f>
        <v>#REF!</v>
      </c>
      <c r="Q41" s="29"/>
      <c r="R41" s="29" t="e" cm="1">
        <f t="array" aca="1" ref="R41" ca="1">IF(COUNTIF(INDIRECT(ADDRESS(3,1,1,1,"DRGs")&amp;":"&amp;ADDRESS(A41,1,4,1)),"*END*")&gt;0,"",INDIRECT(ADDRESS(A41,3,4,1,"DRGs")))</f>
        <v>#REF!</v>
      </c>
      <c r="S41" s="29"/>
      <c r="T41" s="29"/>
      <c r="U41" s="29"/>
      <c r="V41" s="29"/>
      <c r="W41" s="29"/>
      <c r="X41" s="29"/>
      <c r="Y41" s="29" t="e" cm="1">
        <f t="array" aca="1" ref="Y41" ca="1">IF(COUNTIF(INDIRECT(ADDRESS(3,1,1,1,"DedicatedVMHosts")&amp;":"&amp;ADDRESS(A41,1,4,1)),"*END*")&gt;0,"",INDIRECT(ADDRESS(A41,3,4,1,"DedicatedVMHosts")))</f>
        <v>#REF!</v>
      </c>
      <c r="Z41" s="29" t="e" cm="1">
        <f t="array" aca="1" ref="Z41" ca="1">IF(COUNTIF(INDIRECT(ADDRESS(3,1,1,1,"instances")&amp;":"&amp;ADDRESS(A41,1,4,1)),"*END*")&gt;0,"",INDIRECT(ADDRESS(A41,4,4,1,"instances")))</f>
        <v>#REF!</v>
      </c>
      <c r="AA41" s="29"/>
      <c r="AB41" s="29"/>
      <c r="AC41" s="29"/>
      <c r="AD41" s="29"/>
      <c r="AE41" s="29"/>
      <c r="AF41" s="29"/>
      <c r="AH41" s="29"/>
      <c r="AI41" s="29"/>
      <c r="AJ41" s="29" t="s">
        <v>89</v>
      </c>
      <c r="AK41" s="32"/>
      <c r="AL41" s="29"/>
      <c r="AM41" s="29"/>
      <c r="AN41" s="29"/>
      <c r="AU41" s="45" t="e">
        <f t="shared" ca="1" si="1"/>
        <v>#REF!</v>
      </c>
    </row>
    <row r="42" spans="1:47" s="28" customFormat="1">
      <c r="A42" s="28">
        <v>42</v>
      </c>
      <c r="B42" s="28" t="e" cm="1">
        <f t="array" aca="1" ref="B42" ca="1">IF(COUNTIF(INDIRECT(ADDRESS(3,1,1,1,"VCNS")&amp;":"&amp;ADDRESS(A42,18,4,1)),"*END*")&gt;0,"","VCN"&amp;"::"&amp;INDIRECT(ADDRESS(A42,3,4,1,"VCNS")))</f>
        <v>#REF!</v>
      </c>
      <c r="C42" s="28" t="e" cm="1">
        <f t="array" aca="1" ref="C42" ca="1">IF(COUNTIF(INDIRECT(ADDRESS(3,1,1,1,"VCNS")&amp;":"&amp;ADDRESS(A42,1,4,1)),"*END*")&gt;0,"",INDIRECT(ADDRESS(A42,3,4,1,"VCNS")))</f>
        <v>#REF!</v>
      </c>
      <c r="F42" s="18" t="e">
        <f t="shared" ca="1" si="0"/>
        <v>#REF!</v>
      </c>
      <c r="G42" s="18"/>
      <c r="H42" s="19">
        <v>40</v>
      </c>
      <c r="I42" s="18"/>
      <c r="J42" s="18"/>
      <c r="L42" t="s">
        <v>168</v>
      </c>
      <c r="P42" s="29" t="e" cm="1">
        <f t="array" aca="1" ref="P42" ca="1">IF(COUNTIF(INDIRECT(ADDRESS(3,1,1,1,"DHCP")&amp;":"&amp;ADDRESS(A42,1,4,1)),"*END*")&gt;0,"",INDIRECT(ADDRESS(A42,4,4,1,"DHCP")))</f>
        <v>#REF!</v>
      </c>
      <c r="R42" s="29" t="e" cm="1">
        <f t="array" aca="1" ref="R42" ca="1">IF(COUNTIF(INDIRECT(ADDRESS(3,1,1,1,"DRGs")&amp;":"&amp;ADDRESS(A42,1,4,1)),"*END*")&gt;0,"",INDIRECT(ADDRESS(A42,3,4,1,"DRGs")))</f>
        <v>#REF!</v>
      </c>
      <c r="Y42" s="29" t="e" cm="1">
        <f t="array" aca="1" ref="Y42" ca="1">IF(COUNTIF(INDIRECT(ADDRESS(3,1,1,1,"DedicatedVMHosts")&amp;":"&amp;ADDRESS(A42,1,4,1)),"*END*")&gt;0,"",INDIRECT(ADDRESS(A42,3,4,1,"DedicatedVMHosts")))</f>
        <v>#REF!</v>
      </c>
      <c r="Z42" s="29" t="e" cm="1">
        <f t="array" aca="1" ref="Z42" ca="1">IF(COUNTIF(INDIRECT(ADDRESS(3,1,1,1,"instances")&amp;":"&amp;ADDRESS(A42,1,4,1)),"*END*")&gt;0,"",INDIRECT(ADDRESS(A42,4,4,1,"instances")))</f>
        <v>#REF!</v>
      </c>
      <c r="AK42" s="33"/>
      <c r="AU42" s="45" t="e">
        <f t="shared" ca="1" si="1"/>
        <v>#REF!</v>
      </c>
    </row>
    <row r="43" spans="1:47" s="28" customFormat="1">
      <c r="A43" s="28">
        <v>43</v>
      </c>
      <c r="B43" s="28" t="e" cm="1">
        <f t="array" aca="1" ref="B43" ca="1">IF(COUNTIF(INDIRECT(ADDRESS(3,1,1,1,"VCNS")&amp;":"&amp;ADDRESS(A43,18,4,1)),"*END*")&gt;0,"","VCN"&amp;"::"&amp;INDIRECT(ADDRESS(A43,3,4,1,"VCNS")))</f>
        <v>#REF!</v>
      </c>
      <c r="C43" s="28" t="e" cm="1">
        <f t="array" aca="1" ref="C43" ca="1">IF(COUNTIF(INDIRECT(ADDRESS(3,1,1,1,"VCNS")&amp;":"&amp;ADDRESS(A43,1,4,1)),"*END*")&gt;0,"",INDIRECT(ADDRESS(A43,3,4,1,"VCNS")))</f>
        <v>#REF!</v>
      </c>
      <c r="F43" s="18" t="e">
        <f t="shared" ca="1" si="0"/>
        <v>#REF!</v>
      </c>
      <c r="G43" s="18"/>
      <c r="H43" s="19">
        <v>41</v>
      </c>
      <c r="I43" s="18"/>
      <c r="J43" s="18"/>
      <c r="L43" t="s">
        <v>197</v>
      </c>
      <c r="P43" s="29" t="e" cm="1">
        <f t="array" aca="1" ref="P43" ca="1">IF(COUNTIF(INDIRECT(ADDRESS(3,1,1,1,"DHCP")&amp;":"&amp;ADDRESS(A43,1,4,1)),"*END*")&gt;0,"",INDIRECT(ADDRESS(A43,4,4,1,"DHCP")))</f>
        <v>#REF!</v>
      </c>
      <c r="R43" s="29" t="e" cm="1">
        <f t="array" aca="1" ref="R43" ca="1">IF(COUNTIF(INDIRECT(ADDRESS(3,1,1,1,"DRGs")&amp;":"&amp;ADDRESS(A43,1,4,1)),"*END*")&gt;0,"",INDIRECT(ADDRESS(A43,3,4,1,"DRGs")))</f>
        <v>#REF!</v>
      </c>
      <c r="Y43" s="29" t="e" cm="1">
        <f t="array" aca="1" ref="Y43" ca="1">IF(COUNTIF(INDIRECT(ADDRESS(3,1,1,1,"DedicatedVMHosts")&amp;":"&amp;ADDRESS(A43,1,4,1)),"*END*")&gt;0,"",INDIRECT(ADDRESS(A43,3,4,1,"DedicatedVMHosts")))</f>
        <v>#REF!</v>
      </c>
      <c r="Z43" s="29" t="e" cm="1">
        <f t="array" aca="1" ref="Z43" ca="1">IF(COUNTIF(INDIRECT(ADDRESS(3,1,1,1,"instances")&amp;":"&amp;ADDRESS(A43,1,4,1)),"*END*")&gt;0,"",INDIRECT(ADDRESS(A43,4,4,1,"instances")))</f>
        <v>#REF!</v>
      </c>
      <c r="AU43" s="45" t="e">
        <f t="shared" ca="1" si="1"/>
        <v>#REF!</v>
      </c>
    </row>
    <row r="44" spans="1:47" s="28" customFormat="1">
      <c r="A44" s="28">
        <v>44</v>
      </c>
      <c r="B44" s="28" t="e" cm="1">
        <f t="array" aca="1" ref="B44" ca="1">IF(COUNTIF(INDIRECT(ADDRESS(3,1,1,1,"VCNS")&amp;":"&amp;ADDRESS(A44,18,4,1)),"*END*")&gt;0,"","VCN"&amp;"::"&amp;INDIRECT(ADDRESS(A44,3,4,1,"VCNS")))</f>
        <v>#REF!</v>
      </c>
      <c r="C44" s="28" t="e" cm="1">
        <f t="array" aca="1" ref="C44" ca="1">IF(COUNTIF(INDIRECT(ADDRESS(3,1,1,1,"VCNS")&amp;":"&amp;ADDRESS(A44,1,4,1)),"*END*")&gt;0,"",INDIRECT(ADDRESS(A44,3,4,1,"VCNS")))</f>
        <v>#REF!</v>
      </c>
      <c r="F44" s="18" t="e">
        <f t="shared" ca="1" si="0"/>
        <v>#REF!</v>
      </c>
      <c r="G44" s="18"/>
      <c r="H44" s="19">
        <v>42</v>
      </c>
      <c r="I44" s="18"/>
      <c r="J44" s="18"/>
      <c r="L44" t="s">
        <v>169</v>
      </c>
      <c r="P44" s="29" t="e" cm="1">
        <f t="array" aca="1" ref="P44" ca="1">IF(COUNTIF(INDIRECT(ADDRESS(3,1,1,1,"DHCP")&amp;":"&amp;ADDRESS(A44,1,4,1)),"*END*")&gt;0,"",INDIRECT(ADDRESS(A44,4,4,1,"DHCP")))</f>
        <v>#REF!</v>
      </c>
      <c r="R44" s="29" t="e" cm="1">
        <f t="array" aca="1" ref="R44" ca="1">IF(COUNTIF(INDIRECT(ADDRESS(3,1,1,1,"DRGs")&amp;":"&amp;ADDRESS(A44,1,4,1)),"*END*")&gt;0,"",INDIRECT(ADDRESS(A44,3,4,1,"DRGs")))</f>
        <v>#REF!</v>
      </c>
      <c r="Y44" s="29" t="e" cm="1">
        <f t="array" aca="1" ref="Y44" ca="1">IF(COUNTIF(INDIRECT(ADDRESS(3,1,1,1,"DedicatedVMHosts")&amp;":"&amp;ADDRESS(A44,1,4,1)),"*END*")&gt;0,"",INDIRECT(ADDRESS(A44,3,4,1,"DedicatedVMHosts")))</f>
        <v>#REF!</v>
      </c>
      <c r="Z44" s="29" t="e" cm="1">
        <f t="array" aca="1" ref="Z44" ca="1">IF(COUNTIF(INDIRECT(ADDRESS(3,1,1,1,"instances")&amp;":"&amp;ADDRESS(A44,1,4,1)),"*END*")&gt;0,"",INDIRECT(ADDRESS(A44,4,4,1,"instances")))</f>
        <v>#REF!</v>
      </c>
      <c r="AU44" s="45" t="e">
        <f t="shared" ca="1" si="1"/>
        <v>#REF!</v>
      </c>
    </row>
    <row r="45" spans="1:47" s="28" customFormat="1">
      <c r="A45" s="28">
        <v>45</v>
      </c>
      <c r="B45" s="28" t="e" cm="1">
        <f t="array" aca="1" ref="B45" ca="1">IF(COUNTIF(INDIRECT(ADDRESS(3,1,1,1,"VCNS")&amp;":"&amp;ADDRESS(A45,18,4,1)),"*END*")&gt;0,"","VCN"&amp;"::"&amp;INDIRECT(ADDRESS(A45,3,4,1,"VCNS")))</f>
        <v>#REF!</v>
      </c>
      <c r="C45" s="28" t="e" cm="1">
        <f t="array" aca="1" ref="C45" ca="1">IF(COUNTIF(INDIRECT(ADDRESS(3,1,1,1,"VCNS")&amp;":"&amp;ADDRESS(A45,1,4,1)),"*END*")&gt;0,"",INDIRECT(ADDRESS(A45,3,4,1,"VCNS")))</f>
        <v>#REF!</v>
      </c>
      <c r="F45" s="18" t="e">
        <f t="shared" ca="1" si="0"/>
        <v>#REF!</v>
      </c>
      <c r="G45" s="18"/>
      <c r="H45" s="19">
        <v>43</v>
      </c>
      <c r="I45" s="18"/>
      <c r="J45" s="18"/>
      <c r="L45" s="28" t="s">
        <v>379</v>
      </c>
      <c r="P45" s="29" t="e" cm="1">
        <f t="array" aca="1" ref="P45" ca="1">IF(COUNTIF(INDIRECT(ADDRESS(3,1,1,1,"DHCP")&amp;":"&amp;ADDRESS(A45,1,4,1)),"*END*")&gt;0,"",INDIRECT(ADDRESS(A45,4,4,1,"DHCP")))</f>
        <v>#REF!</v>
      </c>
      <c r="R45" s="29" t="e" cm="1">
        <f t="array" aca="1" ref="R45" ca="1">IF(COUNTIF(INDIRECT(ADDRESS(3,1,1,1,"DRGs")&amp;":"&amp;ADDRESS(A45,1,4,1)),"*END*")&gt;0,"",INDIRECT(ADDRESS(A45,3,4,1,"DRGs")))</f>
        <v>#REF!</v>
      </c>
      <c r="Y45" s="29" t="e" cm="1">
        <f t="array" aca="1" ref="Y45" ca="1">IF(COUNTIF(INDIRECT(ADDRESS(3,1,1,1,"DedicatedVMHosts")&amp;":"&amp;ADDRESS(A45,1,4,1)),"*END*")&gt;0,"",INDIRECT(ADDRESS(A45,3,4,1,"DedicatedVMHosts")))</f>
        <v>#REF!</v>
      </c>
      <c r="Z45" s="29" t="e" cm="1">
        <f t="array" aca="1" ref="Z45" ca="1">IF(COUNTIF(INDIRECT(ADDRESS(3,1,1,1,"instances")&amp;":"&amp;ADDRESS(A45,1,4,1)),"*END*")&gt;0,"",INDIRECT(ADDRESS(A45,4,4,1,"instances")))</f>
        <v>#REF!</v>
      </c>
      <c r="AU45" s="45" t="e">
        <f t="shared" ca="1" si="1"/>
        <v>#REF!</v>
      </c>
    </row>
    <row r="46" spans="1:47" s="28" customFormat="1">
      <c r="A46" s="28">
        <v>46</v>
      </c>
      <c r="B46" s="28" t="e" cm="1">
        <f t="array" aca="1" ref="B46" ca="1">IF(COUNTIF(INDIRECT(ADDRESS(3,1,1,1,"VCNS")&amp;":"&amp;ADDRESS(A46,18,4,1)),"*END*")&gt;0,"","VCN"&amp;"::"&amp;INDIRECT(ADDRESS(A46,3,4,1,"VCNS")))</f>
        <v>#REF!</v>
      </c>
      <c r="C46" s="28" t="e" cm="1">
        <f t="array" aca="1" ref="C46" ca="1">IF(COUNTIF(INDIRECT(ADDRESS(3,1,1,1,"VCNS")&amp;":"&amp;ADDRESS(A46,1,4,1)),"*END*")&gt;0,"",INDIRECT(ADDRESS(A46,3,4,1,"VCNS")))</f>
        <v>#REF!</v>
      </c>
      <c r="F46" s="18" t="e">
        <f t="shared" ca="1" si="0"/>
        <v>#REF!</v>
      </c>
      <c r="G46" s="18"/>
      <c r="H46" s="19">
        <v>44</v>
      </c>
      <c r="I46" s="18"/>
      <c r="J46" s="18"/>
      <c r="L46" t="s">
        <v>206</v>
      </c>
      <c r="P46" s="29" t="e" cm="1">
        <f t="array" aca="1" ref="P46" ca="1">IF(COUNTIF(INDIRECT(ADDRESS(3,1,1,1,"DHCP")&amp;":"&amp;ADDRESS(A46,1,4,1)),"*END*")&gt;0,"",INDIRECT(ADDRESS(A46,4,4,1,"DHCP")))</f>
        <v>#REF!</v>
      </c>
      <c r="R46" s="29" t="e" cm="1">
        <f t="array" aca="1" ref="R46" ca="1">IF(COUNTIF(INDIRECT(ADDRESS(3,1,1,1,"DRGs")&amp;":"&amp;ADDRESS(A46,1,4,1)),"*END*")&gt;0,"",INDIRECT(ADDRESS(A46,3,4,1,"DRGs")))</f>
        <v>#REF!</v>
      </c>
      <c r="Y46" s="29" t="e" cm="1">
        <f t="array" aca="1" ref="Y46" ca="1">IF(COUNTIF(INDIRECT(ADDRESS(3,1,1,1,"DedicatedVMHosts")&amp;":"&amp;ADDRESS(A46,1,4,1)),"*END*")&gt;0,"",INDIRECT(ADDRESS(A46,3,4,1,"DedicatedVMHosts")))</f>
        <v>#REF!</v>
      </c>
      <c r="Z46" s="29" t="e" cm="1">
        <f t="array" aca="1" ref="Z46" ca="1">IF(COUNTIF(INDIRECT(ADDRESS(3,1,1,1,"instances")&amp;":"&amp;ADDRESS(A46,1,4,1)),"*END*")&gt;0,"",INDIRECT(ADDRESS(A46,4,4,1,"instances")))</f>
        <v>#REF!</v>
      </c>
      <c r="AU46" s="45" t="e">
        <f t="shared" ca="1" si="1"/>
        <v>#REF!</v>
      </c>
    </row>
    <row r="47" spans="1:47" s="28" customFormat="1">
      <c r="A47" s="28">
        <v>47</v>
      </c>
      <c r="B47" s="28" t="e" cm="1">
        <f t="array" aca="1" ref="B47" ca="1">IF(COUNTIF(INDIRECT(ADDRESS(3,1,1,1,"VCNS")&amp;":"&amp;ADDRESS(A47,18,4,1)),"*END*")&gt;0,"","VCN"&amp;"::"&amp;INDIRECT(ADDRESS(A47,3,4,1,"VCNS")))</f>
        <v>#REF!</v>
      </c>
      <c r="C47" s="28" t="e" cm="1">
        <f t="array" aca="1" ref="C47" ca="1">IF(COUNTIF(INDIRECT(ADDRESS(3,1,1,1,"VCNS")&amp;":"&amp;ADDRESS(A47,1,4,1)),"*END*")&gt;0,"",INDIRECT(ADDRESS(A47,3,4,1,"VCNS")))</f>
        <v>#REF!</v>
      </c>
      <c r="F47" s="18" t="e">
        <f t="shared" ca="1" si="0"/>
        <v>#REF!</v>
      </c>
      <c r="G47" s="18"/>
      <c r="H47" s="19">
        <v>45</v>
      </c>
      <c r="I47" s="18"/>
      <c r="J47" s="18"/>
      <c r="L47" t="s">
        <v>207</v>
      </c>
      <c r="P47" s="29" t="e" cm="1">
        <f t="array" aca="1" ref="P47" ca="1">IF(COUNTIF(INDIRECT(ADDRESS(3,1,1,1,"DHCP")&amp;":"&amp;ADDRESS(A47,1,4,1)),"*END*")&gt;0,"",INDIRECT(ADDRESS(A47,4,4,1,"DHCP")))</f>
        <v>#REF!</v>
      </c>
      <c r="R47" s="29" t="e" cm="1">
        <f t="array" aca="1" ref="R47" ca="1">IF(COUNTIF(INDIRECT(ADDRESS(3,1,1,1,"DRGs")&amp;":"&amp;ADDRESS(A47,1,4,1)),"*END*")&gt;0,"",INDIRECT(ADDRESS(A47,3,4,1,"DRGs")))</f>
        <v>#REF!</v>
      </c>
      <c r="Y47" s="29" t="e" cm="1">
        <f t="array" aca="1" ref="Y47" ca="1">IF(COUNTIF(INDIRECT(ADDRESS(3,1,1,1,"DedicatedVMHosts")&amp;":"&amp;ADDRESS(A47,1,4,1)),"*END*")&gt;0,"",INDIRECT(ADDRESS(A47,3,4,1,"DedicatedVMHosts")))</f>
        <v>#REF!</v>
      </c>
      <c r="Z47" s="29" t="e" cm="1">
        <f t="array" aca="1" ref="Z47" ca="1">IF(COUNTIF(INDIRECT(ADDRESS(3,1,1,1,"instances")&amp;":"&amp;ADDRESS(A47,1,4,1)),"*END*")&gt;0,"",INDIRECT(ADDRESS(A47,4,4,1,"instances")))</f>
        <v>#REF!</v>
      </c>
      <c r="AU47" s="45" t="e">
        <f t="shared" ca="1" si="1"/>
        <v>#REF!</v>
      </c>
    </row>
    <row r="48" spans="1:47" s="28" customFormat="1">
      <c r="A48" s="28">
        <v>48</v>
      </c>
      <c r="B48" s="28" t="e" cm="1">
        <f t="array" aca="1" ref="B48" ca="1">IF(COUNTIF(INDIRECT(ADDRESS(3,1,1,1,"VCNS")&amp;":"&amp;ADDRESS(A48,18,4,1)),"*END*")&gt;0,"","VCN"&amp;"::"&amp;INDIRECT(ADDRESS(A48,3,4,1,"VCNS")))</f>
        <v>#REF!</v>
      </c>
      <c r="C48" s="28" t="e" cm="1">
        <f t="array" aca="1" ref="C48" ca="1">IF(COUNTIF(INDIRECT(ADDRESS(3,1,1,1,"VCNS")&amp;":"&amp;ADDRESS(A48,1,4,1)),"*END*")&gt;0,"",INDIRECT(ADDRESS(A48,3,4,1,"VCNS")))</f>
        <v>#REF!</v>
      </c>
      <c r="F48" s="18" t="e">
        <f t="shared" ca="1" si="0"/>
        <v>#REF!</v>
      </c>
      <c r="G48" s="18"/>
      <c r="H48" s="19">
        <v>46</v>
      </c>
      <c r="I48" s="18"/>
      <c r="J48" s="18"/>
      <c r="L48" s="20" t="s">
        <v>376</v>
      </c>
      <c r="P48" s="29" t="e" cm="1">
        <f t="array" aca="1" ref="P48" ca="1">IF(COUNTIF(INDIRECT(ADDRESS(3,1,1,1,"DHCP")&amp;":"&amp;ADDRESS(A48,1,4,1)),"*END*")&gt;0,"",INDIRECT(ADDRESS(A48,4,4,1,"DHCP")))</f>
        <v>#REF!</v>
      </c>
      <c r="R48" s="29" t="e" cm="1">
        <f t="array" aca="1" ref="R48" ca="1">IF(COUNTIF(INDIRECT(ADDRESS(3,1,1,1,"DRGs")&amp;":"&amp;ADDRESS(A48,1,4,1)),"*END*")&gt;0,"",INDIRECT(ADDRESS(A48,3,4,1,"DRGs")))</f>
        <v>#REF!</v>
      </c>
      <c r="Y48" s="29" t="e" cm="1">
        <f t="array" aca="1" ref="Y48" ca="1">IF(COUNTIF(INDIRECT(ADDRESS(3,1,1,1,"DedicatedVMHosts")&amp;":"&amp;ADDRESS(A48,1,4,1)),"*END*")&gt;0,"",INDIRECT(ADDRESS(A48,3,4,1,"DedicatedVMHosts")))</f>
        <v>#REF!</v>
      </c>
      <c r="Z48" s="29" t="e" cm="1">
        <f t="array" aca="1" ref="Z48" ca="1">IF(COUNTIF(INDIRECT(ADDRESS(3,1,1,1,"instances")&amp;":"&amp;ADDRESS(A48,1,4,1)),"*END*")&gt;0,"",INDIRECT(ADDRESS(A48,4,4,1,"instances")))</f>
        <v>#REF!</v>
      </c>
      <c r="AU48" s="45" t="e">
        <f t="shared" ca="1" si="1"/>
        <v>#REF!</v>
      </c>
    </row>
    <row r="49" spans="1:48" s="28" customFormat="1">
      <c r="A49" s="28">
        <v>49</v>
      </c>
      <c r="B49" s="28" t="e" cm="1">
        <f t="array" aca="1" ref="B49" ca="1">IF(COUNTIF(INDIRECT(ADDRESS(3,1,1,1,"VCNS")&amp;":"&amp;ADDRESS(A49,18,4,1)),"*END*")&gt;0,"","VCN"&amp;"::"&amp;INDIRECT(ADDRESS(A49,3,4,1,"VCNS")))</f>
        <v>#REF!</v>
      </c>
      <c r="C49" s="28" t="e" cm="1">
        <f t="array" aca="1" ref="C49" ca="1">IF(COUNTIF(INDIRECT(ADDRESS(3,1,1,1,"VCNS")&amp;":"&amp;ADDRESS(A49,1,4,1)),"*END*")&gt;0,"",INDIRECT(ADDRESS(A49,3,4,1,"VCNS")))</f>
        <v>#REF!</v>
      </c>
      <c r="F49" s="18" t="e">
        <f t="shared" ca="1" si="0"/>
        <v>#REF!</v>
      </c>
      <c r="G49" s="18"/>
      <c r="H49" s="19">
        <v>47</v>
      </c>
      <c r="I49" s="18"/>
      <c r="J49" s="18"/>
      <c r="L49" t="s">
        <v>199</v>
      </c>
      <c r="P49" s="29" t="e" cm="1">
        <f t="array" aca="1" ref="P49" ca="1">IF(COUNTIF(INDIRECT(ADDRESS(3,1,1,1,"DHCP")&amp;":"&amp;ADDRESS(A49,1,4,1)),"*END*")&gt;0,"",INDIRECT(ADDRESS(A49,4,4,1,"DHCP")))</f>
        <v>#REF!</v>
      </c>
      <c r="R49" s="29" t="e" cm="1">
        <f t="array" aca="1" ref="R49" ca="1">IF(COUNTIF(INDIRECT(ADDRESS(3,1,1,1,"DRGs")&amp;":"&amp;ADDRESS(A49,1,4,1)),"*END*")&gt;0,"",INDIRECT(ADDRESS(A49,3,4,1,"DRGs")))</f>
        <v>#REF!</v>
      </c>
      <c r="Y49" s="29" t="e" cm="1">
        <f t="array" aca="1" ref="Y49" ca="1">IF(COUNTIF(INDIRECT(ADDRESS(3,1,1,1,"DedicatedVMHosts")&amp;":"&amp;ADDRESS(A49,1,4,1)),"*END*")&gt;0,"",INDIRECT(ADDRESS(A49,3,4,1,"DedicatedVMHosts")))</f>
        <v>#REF!</v>
      </c>
      <c r="Z49" s="29" t="e" cm="1">
        <f t="array" aca="1" ref="Z49" ca="1">IF(COUNTIF(INDIRECT(ADDRESS(3,1,1,1,"instances")&amp;":"&amp;ADDRESS(A49,1,4,1)),"*END*")&gt;0,"",INDIRECT(ADDRESS(A49,4,4,1,"instances")))</f>
        <v>#REF!</v>
      </c>
      <c r="AU49" s="45" t="e">
        <f t="shared" ca="1" si="1"/>
        <v>#REF!</v>
      </c>
    </row>
    <row r="50" spans="1:48" s="28" customFormat="1">
      <c r="A50" s="28">
        <v>50</v>
      </c>
      <c r="B50" s="28" t="e" cm="1">
        <f t="array" aca="1" ref="B50" ca="1">IF(COUNTIF(INDIRECT(ADDRESS(3,1,1,1,"VCNS")&amp;":"&amp;ADDRESS(A50,18,4,1)),"*END*")&gt;0,"","VCN"&amp;"::"&amp;INDIRECT(ADDRESS(A50,3,4,1,"VCNS")))</f>
        <v>#REF!</v>
      </c>
      <c r="C50" s="28" t="e" cm="1">
        <f t="array" aca="1" ref="C50" ca="1">IF(COUNTIF(INDIRECT(ADDRESS(3,1,1,1,"VCNS")&amp;":"&amp;ADDRESS(A50,1,4,1)),"*END*")&gt;0,"",INDIRECT(ADDRESS(A50,3,4,1,"VCNS")))</f>
        <v>#REF!</v>
      </c>
      <c r="F50" s="18" t="e">
        <f t="shared" ca="1" si="0"/>
        <v>#REF!</v>
      </c>
      <c r="G50" s="18"/>
      <c r="H50" s="19">
        <v>48</v>
      </c>
      <c r="I50" s="18"/>
      <c r="J50" s="18"/>
      <c r="L50" t="s">
        <v>200</v>
      </c>
      <c r="P50" s="29" t="e" cm="1">
        <f t="array" aca="1" ref="P50" ca="1">IF(COUNTIF(INDIRECT(ADDRESS(3,1,1,1,"DHCP")&amp;":"&amp;ADDRESS(A50,1,4,1)),"*END*")&gt;0,"",INDIRECT(ADDRESS(A50,4,4,1,"DHCP")))</f>
        <v>#REF!</v>
      </c>
      <c r="R50" s="29" t="e" cm="1">
        <f t="array" aca="1" ref="R50" ca="1">IF(COUNTIF(INDIRECT(ADDRESS(3,1,1,1,"DRGs")&amp;":"&amp;ADDRESS(A50,1,4,1)),"*END*")&gt;0,"",INDIRECT(ADDRESS(A50,3,4,1,"DRGs")))</f>
        <v>#REF!</v>
      </c>
      <c r="Y50" s="29" t="e" cm="1">
        <f t="array" aca="1" ref="Y50" ca="1">IF(COUNTIF(INDIRECT(ADDRESS(3,1,1,1,"DedicatedVMHosts")&amp;":"&amp;ADDRESS(A50,1,4,1)),"*END*")&gt;0,"",INDIRECT(ADDRESS(A50,3,4,1,"DedicatedVMHosts")))</f>
        <v>#REF!</v>
      </c>
      <c r="Z50" s="29" t="e" cm="1">
        <f t="array" aca="1" ref="Z50" ca="1">IF(COUNTIF(INDIRECT(ADDRESS(3,1,1,1,"instances")&amp;":"&amp;ADDRESS(A50,1,4,1)),"*END*")&gt;0,"",INDIRECT(ADDRESS(A50,4,4,1,"instances")))</f>
        <v>#REF!</v>
      </c>
      <c r="AU50" s="45" t="e">
        <f t="shared" ca="1" si="1"/>
        <v>#REF!</v>
      </c>
    </row>
    <row r="51" spans="1:48" s="28" customFormat="1">
      <c r="F51" s="18" t="e">
        <f t="shared" ca="1" si="0"/>
        <v>#REF!</v>
      </c>
      <c r="G51" s="18"/>
      <c r="H51" s="19">
        <v>49</v>
      </c>
      <c r="I51" s="18"/>
      <c r="J51" s="18"/>
      <c r="L51" t="s">
        <v>201</v>
      </c>
      <c r="AG51" s="34"/>
      <c r="AU51" s="45" t="e">
        <f t="shared" ca="1" si="1"/>
        <v>#REF!</v>
      </c>
    </row>
    <row r="52" spans="1:48">
      <c r="F52" s="18" t="e">
        <f t="shared" ca="1" si="0"/>
        <v>#REF!</v>
      </c>
      <c r="G52" s="18"/>
      <c r="H52" s="19">
        <v>50</v>
      </c>
      <c r="I52" s="18"/>
      <c r="J52" s="18"/>
      <c r="L52" s="20" t="s">
        <v>378</v>
      </c>
      <c r="AU52" s="45" t="e">
        <f t="shared" ca="1" si="1"/>
        <v>#REF!</v>
      </c>
      <c r="AV52" s="28"/>
    </row>
    <row r="53" spans="1:48">
      <c r="F53" s="18" t="e">
        <f t="shared" ca="1" si="0"/>
        <v>#REF!</v>
      </c>
      <c r="G53" s="18"/>
      <c r="H53" s="19">
        <v>51</v>
      </c>
      <c r="I53" s="18"/>
      <c r="J53" s="18"/>
      <c r="L53" t="s">
        <v>202</v>
      </c>
      <c r="AU53" s="45" t="e">
        <f t="shared" ca="1" si="1"/>
        <v>#REF!</v>
      </c>
      <c r="AV53" s="28"/>
    </row>
    <row r="54" spans="1:48">
      <c r="F54" s="18" t="e">
        <f t="shared" ca="1" si="0"/>
        <v>#REF!</v>
      </c>
      <c r="G54" s="18"/>
      <c r="H54" s="19">
        <v>52</v>
      </c>
      <c r="I54" s="18"/>
      <c r="J54" s="18"/>
      <c r="L54" t="s">
        <v>203</v>
      </c>
      <c r="AU54" s="45" t="e">
        <f t="shared" ca="1" si="1"/>
        <v>#REF!</v>
      </c>
      <c r="AV54" s="28"/>
    </row>
    <row r="55" spans="1:48">
      <c r="F55" s="18" t="e">
        <f t="shared" ca="1" si="0"/>
        <v>#REF!</v>
      </c>
      <c r="G55" s="18"/>
      <c r="H55" s="19">
        <v>53</v>
      </c>
      <c r="I55" s="18"/>
      <c r="J55" s="18"/>
      <c r="L55" s="34" t="s">
        <v>1</v>
      </c>
      <c r="AU55" s="45" t="e">
        <f t="shared" ca="1" si="1"/>
        <v>#REF!</v>
      </c>
      <c r="AV55" s="28"/>
    </row>
    <row r="56" spans="1:48">
      <c r="F56" s="18" t="e">
        <f t="shared" ca="1" si="0"/>
        <v>#REF!</v>
      </c>
      <c r="G56" s="18"/>
      <c r="H56" s="19">
        <v>54</v>
      </c>
      <c r="I56" s="18"/>
      <c r="J56" s="18"/>
      <c r="L56" s="28"/>
      <c r="AU56" s="45" t="e">
        <f t="shared" ca="1" si="1"/>
        <v>#REF!</v>
      </c>
      <c r="AV56" s="28"/>
    </row>
    <row r="57" spans="1:48">
      <c r="F57" s="18" t="e">
        <f t="shared" ca="1" si="0"/>
        <v>#REF!</v>
      </c>
      <c r="G57" s="18"/>
      <c r="H57" s="19">
        <v>55</v>
      </c>
      <c r="I57" s="18"/>
      <c r="J57" s="18"/>
      <c r="L57" s="28"/>
      <c r="AU57" s="45" t="e">
        <f t="shared" ca="1" si="1"/>
        <v>#REF!</v>
      </c>
      <c r="AV57" s="28"/>
    </row>
    <row r="58" spans="1:48">
      <c r="F58" s="18" t="e">
        <f t="shared" ca="1" si="0"/>
        <v>#REF!</v>
      </c>
      <c r="G58" s="18"/>
      <c r="H58" s="19">
        <v>56</v>
      </c>
      <c r="I58" s="18"/>
      <c r="J58" s="18"/>
      <c r="AU58" s="45" t="e">
        <f t="shared" ca="1" si="1"/>
        <v>#REF!</v>
      </c>
      <c r="AV58" s="28"/>
    </row>
    <row r="59" spans="1:48">
      <c r="F59" s="18" t="e">
        <f t="shared" ca="1" si="0"/>
        <v>#REF!</v>
      </c>
      <c r="G59" s="18"/>
      <c r="H59" s="19">
        <v>57</v>
      </c>
      <c r="I59" s="18"/>
      <c r="J59" s="18"/>
      <c r="AU59" s="45" t="e">
        <f t="shared" ca="1" si="1"/>
        <v>#REF!</v>
      </c>
      <c r="AV59" s="28"/>
    </row>
    <row r="60" spans="1:48">
      <c r="F60" s="18" t="e">
        <f t="shared" ca="1" si="0"/>
        <v>#REF!</v>
      </c>
      <c r="G60" s="18"/>
      <c r="H60" s="19">
        <v>58</v>
      </c>
      <c r="I60" s="18"/>
      <c r="J60" s="18"/>
      <c r="AU60" s="45" t="e">
        <f t="shared" ca="1" si="1"/>
        <v>#REF!</v>
      </c>
      <c r="AV60" s="28"/>
    </row>
    <row r="61" spans="1:48">
      <c r="F61" s="18" t="e">
        <f t="shared" ca="1" si="0"/>
        <v>#REF!</v>
      </c>
      <c r="G61" s="18"/>
      <c r="H61" s="19">
        <v>59</v>
      </c>
      <c r="I61" s="18"/>
      <c r="J61" s="18"/>
      <c r="AU61" s="45" t="e">
        <f t="shared" ca="1" si="1"/>
        <v>#REF!</v>
      </c>
      <c r="AV61" s="28"/>
    </row>
    <row r="62" spans="1:48">
      <c r="F62" s="18" t="e">
        <f t="shared" ca="1" si="0"/>
        <v>#REF!</v>
      </c>
      <c r="G62" s="18"/>
      <c r="H62" s="19">
        <v>60</v>
      </c>
      <c r="I62" s="18"/>
      <c r="J62" s="18"/>
      <c r="AU62" s="45" t="e">
        <f t="shared" ca="1" si="1"/>
        <v>#REF!</v>
      </c>
      <c r="AV62" s="28"/>
    </row>
    <row r="63" spans="1:48">
      <c r="F63" s="18" t="e">
        <f t="shared" ca="1" si="0"/>
        <v>#REF!</v>
      </c>
      <c r="G63" s="18"/>
      <c r="H63" s="19">
        <v>61</v>
      </c>
      <c r="I63" s="18"/>
      <c r="J63" s="18"/>
      <c r="AU63" s="45" t="e">
        <f t="shared" ca="1" si="1"/>
        <v>#REF!</v>
      </c>
      <c r="AV63" s="28"/>
    </row>
    <row r="64" spans="1:48">
      <c r="F64" s="18" t="e">
        <f t="shared" ca="1" si="0"/>
        <v>#REF!</v>
      </c>
      <c r="G64" s="18"/>
      <c r="H64" s="19">
        <v>62</v>
      </c>
      <c r="I64" s="18"/>
      <c r="J64" s="18"/>
      <c r="AU64" s="45" t="e">
        <f t="shared" ca="1" si="1"/>
        <v>#REF!</v>
      </c>
      <c r="AV64" s="28"/>
    </row>
    <row r="65" spans="6:48">
      <c r="F65" s="18" t="e">
        <f t="shared" ca="1" si="0"/>
        <v>#REF!</v>
      </c>
      <c r="G65" s="18"/>
      <c r="H65" s="19">
        <v>63</v>
      </c>
      <c r="I65" s="18"/>
      <c r="J65" s="18"/>
      <c r="AU65" s="45" t="e">
        <f t="shared" ca="1" si="1"/>
        <v>#REF!</v>
      </c>
      <c r="AV65" s="28"/>
    </row>
    <row r="66" spans="6:48">
      <c r="F66" s="18" t="e">
        <f t="shared" ca="1" si="0"/>
        <v>#REF!</v>
      </c>
      <c r="G66" s="18"/>
      <c r="H66" s="19">
        <v>64</v>
      </c>
      <c r="I66" s="18"/>
      <c r="J66" s="18"/>
      <c r="AU66" s="45" t="e">
        <f t="shared" ca="1" si="1"/>
        <v>#REF!</v>
      </c>
      <c r="AV66" s="28"/>
    </row>
    <row r="67" spans="6:48">
      <c r="F67" s="18" t="e">
        <f t="shared" ca="1" si="0"/>
        <v>#REF!</v>
      </c>
      <c r="G67" s="18"/>
      <c r="H67" s="19">
        <v>65</v>
      </c>
      <c r="I67" s="18"/>
      <c r="J67" s="18"/>
      <c r="AU67" s="45" t="e">
        <f t="shared" ca="1" si="1"/>
        <v>#REF!</v>
      </c>
      <c r="AV67" s="28"/>
    </row>
    <row r="68" spans="6:48">
      <c r="F68" s="18" t="e">
        <f t="shared" ref="F68:F131" ca="1" si="2">_xlfn.IFNA(IF($H68+1&gt;$G$2,"",INDEX(INDIRECT("SubnetsVLANs!$D$"&amp;$H68+2&amp;":$D$"&amp;$G$2),MATCH("vlan*",INDIRECT("SubnetsVLANs!$E$"&amp;$H68+2&amp;":$E$"&amp;$G$2),0))),"")</f>
        <v>#REF!</v>
      </c>
      <c r="G68" s="18"/>
      <c r="H68" s="19">
        <v>66</v>
      </c>
      <c r="I68" s="18"/>
      <c r="J68" s="18"/>
      <c r="AU68" s="45" t="e">
        <f t="shared" ref="AU68:AU131" ca="1" si="3">_xlfn.IFNA(IF($H68+1&gt;$G$2,"",INDEX(INDIRECT("SubnetsVLANs!$D$"&amp;$H68+2&amp;":$D$"&amp;$G$2),MATCH("Subnet*",INDIRECT("SubnetsVLANs!$E$"&amp;$H68+2&amp;":$E$"&amp;$G$2),0))),"")</f>
        <v>#REF!</v>
      </c>
      <c r="AV68" s="28"/>
    </row>
    <row r="69" spans="6:48">
      <c r="F69" s="18" t="e">
        <f t="shared" ca="1" si="2"/>
        <v>#REF!</v>
      </c>
      <c r="G69" s="18"/>
      <c r="H69" s="19">
        <v>67</v>
      </c>
      <c r="I69" s="18"/>
      <c r="J69" s="18"/>
      <c r="AU69" s="45" t="e">
        <f t="shared" ca="1" si="3"/>
        <v>#REF!</v>
      </c>
      <c r="AV69" s="28"/>
    </row>
    <row r="70" spans="6:48">
      <c r="F70" s="18" t="e">
        <f t="shared" ca="1" si="2"/>
        <v>#REF!</v>
      </c>
      <c r="G70" s="18"/>
      <c r="H70" s="19">
        <v>68</v>
      </c>
      <c r="I70" s="18"/>
      <c r="J70" s="18"/>
      <c r="AU70" s="45" t="e">
        <f t="shared" ca="1" si="3"/>
        <v>#REF!</v>
      </c>
      <c r="AV70" s="28"/>
    </row>
    <row r="71" spans="6:48">
      <c r="F71" s="18" t="e">
        <f t="shared" ca="1" si="2"/>
        <v>#REF!</v>
      </c>
      <c r="G71" s="18"/>
      <c r="H71" s="19">
        <v>69</v>
      </c>
      <c r="I71" s="18"/>
      <c r="J71" s="18"/>
      <c r="AU71" s="45" t="e">
        <f t="shared" ca="1" si="3"/>
        <v>#REF!</v>
      </c>
      <c r="AV71" s="28"/>
    </row>
    <row r="72" spans="6:48">
      <c r="F72" s="18" t="e">
        <f t="shared" ca="1" si="2"/>
        <v>#REF!</v>
      </c>
      <c r="G72" s="18"/>
      <c r="H72" s="19">
        <v>70</v>
      </c>
      <c r="I72" s="18"/>
      <c r="J72" s="18"/>
      <c r="AU72" s="45" t="e">
        <f t="shared" ca="1" si="3"/>
        <v>#REF!</v>
      </c>
      <c r="AV72" s="28"/>
    </row>
    <row r="73" spans="6:48">
      <c r="F73" s="18" t="e">
        <f t="shared" ca="1" si="2"/>
        <v>#REF!</v>
      </c>
      <c r="G73" s="18"/>
      <c r="H73" s="19">
        <v>71</v>
      </c>
      <c r="I73" s="18"/>
      <c r="J73" s="18"/>
      <c r="AU73" s="45" t="e">
        <f t="shared" ca="1" si="3"/>
        <v>#REF!</v>
      </c>
      <c r="AV73" s="28"/>
    </row>
    <row r="74" spans="6:48">
      <c r="F74" s="18" t="e">
        <f t="shared" ca="1" si="2"/>
        <v>#REF!</v>
      </c>
      <c r="G74" s="18"/>
      <c r="H74" s="19">
        <v>72</v>
      </c>
      <c r="I74" s="18"/>
      <c r="J74" s="18"/>
      <c r="AU74" s="45" t="e">
        <f t="shared" ca="1" si="3"/>
        <v>#REF!</v>
      </c>
      <c r="AV74" s="28"/>
    </row>
    <row r="75" spans="6:48">
      <c r="F75" s="18" t="e">
        <f t="shared" ca="1" si="2"/>
        <v>#REF!</v>
      </c>
      <c r="G75" s="18"/>
      <c r="H75" s="19">
        <v>73</v>
      </c>
      <c r="I75" s="18"/>
      <c r="J75" s="18"/>
      <c r="AU75" s="45" t="e">
        <f t="shared" ca="1" si="3"/>
        <v>#REF!</v>
      </c>
      <c r="AV75" s="28"/>
    </row>
    <row r="76" spans="6:48">
      <c r="F76" s="18" t="e">
        <f t="shared" ca="1" si="2"/>
        <v>#REF!</v>
      </c>
      <c r="G76" s="18"/>
      <c r="H76" s="19">
        <v>74</v>
      </c>
      <c r="I76" s="18"/>
      <c r="J76" s="18"/>
      <c r="AU76" s="45" t="e">
        <f t="shared" ca="1" si="3"/>
        <v>#REF!</v>
      </c>
      <c r="AV76" s="28"/>
    </row>
    <row r="77" spans="6:48">
      <c r="F77" s="18" t="e">
        <f t="shared" ca="1" si="2"/>
        <v>#REF!</v>
      </c>
      <c r="G77" s="18"/>
      <c r="H77" s="19">
        <v>75</v>
      </c>
      <c r="I77" s="18"/>
      <c r="J77" s="18"/>
      <c r="AU77" s="45" t="e">
        <f t="shared" ca="1" si="3"/>
        <v>#REF!</v>
      </c>
      <c r="AV77" s="28"/>
    </row>
    <row r="78" spans="6:48">
      <c r="F78" s="18" t="e">
        <f t="shared" ca="1" si="2"/>
        <v>#REF!</v>
      </c>
      <c r="G78" s="18"/>
      <c r="H78" s="19">
        <v>76</v>
      </c>
      <c r="I78" s="18"/>
      <c r="J78" s="18"/>
      <c r="AU78" s="45" t="e">
        <f t="shared" ca="1" si="3"/>
        <v>#REF!</v>
      </c>
      <c r="AV78" s="28"/>
    </row>
    <row r="79" spans="6:48">
      <c r="F79" s="18" t="e">
        <f t="shared" ca="1" si="2"/>
        <v>#REF!</v>
      </c>
      <c r="G79" s="18"/>
      <c r="H79" s="19">
        <v>77</v>
      </c>
      <c r="I79" s="18"/>
      <c r="J79" s="18"/>
      <c r="AU79" s="45" t="e">
        <f t="shared" ca="1" si="3"/>
        <v>#REF!</v>
      </c>
      <c r="AV79" s="28"/>
    </row>
    <row r="80" spans="6:48">
      <c r="F80" s="18" t="e">
        <f t="shared" ca="1" si="2"/>
        <v>#REF!</v>
      </c>
      <c r="G80" s="18"/>
      <c r="H80" s="19">
        <v>78</v>
      </c>
      <c r="I80" s="18"/>
      <c r="J80" s="18"/>
      <c r="AU80" s="45" t="e">
        <f t="shared" ca="1" si="3"/>
        <v>#REF!</v>
      </c>
      <c r="AV80" s="28"/>
    </row>
    <row r="81" spans="6:48">
      <c r="F81" s="18" t="e">
        <f t="shared" ca="1" si="2"/>
        <v>#REF!</v>
      </c>
      <c r="G81" s="18"/>
      <c r="H81" s="19">
        <v>79</v>
      </c>
      <c r="I81" s="18"/>
      <c r="J81" s="18"/>
      <c r="AU81" s="45" t="e">
        <f t="shared" ca="1" si="3"/>
        <v>#REF!</v>
      </c>
      <c r="AV81" s="28"/>
    </row>
    <row r="82" spans="6:48">
      <c r="F82" s="18" t="e">
        <f t="shared" ca="1" si="2"/>
        <v>#REF!</v>
      </c>
      <c r="G82" s="18"/>
      <c r="H82" s="19">
        <v>80</v>
      </c>
      <c r="I82" s="18"/>
      <c r="J82" s="18"/>
      <c r="AU82" s="45" t="e">
        <f t="shared" ca="1" si="3"/>
        <v>#REF!</v>
      </c>
      <c r="AV82" s="28"/>
    </row>
    <row r="83" spans="6:48">
      <c r="F83" s="18" t="e">
        <f t="shared" ca="1" si="2"/>
        <v>#REF!</v>
      </c>
      <c r="G83" s="18"/>
      <c r="H83" s="19">
        <v>81</v>
      </c>
      <c r="I83" s="18"/>
      <c r="J83" s="18"/>
      <c r="AU83" s="45" t="e">
        <f t="shared" ca="1" si="3"/>
        <v>#REF!</v>
      </c>
      <c r="AV83" s="28"/>
    </row>
    <row r="84" spans="6:48">
      <c r="F84" s="18" t="e">
        <f t="shared" ca="1" si="2"/>
        <v>#REF!</v>
      </c>
      <c r="G84" s="18"/>
      <c r="H84" s="19">
        <v>82</v>
      </c>
      <c r="I84" s="18"/>
      <c r="J84" s="18"/>
      <c r="AU84" s="45" t="e">
        <f t="shared" ca="1" si="3"/>
        <v>#REF!</v>
      </c>
      <c r="AV84" s="28"/>
    </row>
    <row r="85" spans="6:48">
      <c r="F85" s="18" t="e">
        <f t="shared" ca="1" si="2"/>
        <v>#REF!</v>
      </c>
      <c r="G85" s="18"/>
      <c r="H85" s="19">
        <v>83</v>
      </c>
      <c r="I85" s="18"/>
      <c r="J85" s="18"/>
      <c r="AU85" s="45" t="e">
        <f t="shared" ca="1" si="3"/>
        <v>#REF!</v>
      </c>
      <c r="AV85" s="28"/>
    </row>
    <row r="86" spans="6:48">
      <c r="F86" s="18" t="e">
        <f t="shared" ca="1" si="2"/>
        <v>#REF!</v>
      </c>
      <c r="G86" s="18"/>
      <c r="H86" s="19">
        <v>84</v>
      </c>
      <c r="I86" s="18"/>
      <c r="J86" s="18"/>
      <c r="AU86" s="45" t="e">
        <f t="shared" ca="1" si="3"/>
        <v>#REF!</v>
      </c>
      <c r="AV86" s="28"/>
    </row>
    <row r="87" spans="6:48">
      <c r="F87" s="18" t="e">
        <f t="shared" ca="1" si="2"/>
        <v>#REF!</v>
      </c>
      <c r="G87" s="18"/>
      <c r="H87" s="19">
        <v>85</v>
      </c>
      <c r="I87" s="18"/>
      <c r="J87" s="18"/>
      <c r="AU87" s="45" t="e">
        <f t="shared" ca="1" si="3"/>
        <v>#REF!</v>
      </c>
      <c r="AV87" s="28"/>
    </row>
    <row r="88" spans="6:48">
      <c r="F88" s="18" t="e">
        <f t="shared" ca="1" si="2"/>
        <v>#REF!</v>
      </c>
      <c r="G88" s="18"/>
      <c r="H88" s="19">
        <v>86</v>
      </c>
      <c r="I88" s="18"/>
      <c r="J88" s="18"/>
      <c r="AU88" s="45" t="e">
        <f t="shared" ca="1" si="3"/>
        <v>#REF!</v>
      </c>
      <c r="AV88" s="28"/>
    </row>
    <row r="89" spans="6:48">
      <c r="F89" s="18" t="e">
        <f t="shared" ca="1" si="2"/>
        <v>#REF!</v>
      </c>
      <c r="G89" s="18"/>
      <c r="H89" s="19">
        <v>87</v>
      </c>
      <c r="I89" s="18"/>
      <c r="J89" s="18"/>
      <c r="AU89" s="45" t="e">
        <f t="shared" ca="1" si="3"/>
        <v>#REF!</v>
      </c>
      <c r="AV89" s="28"/>
    </row>
    <row r="90" spans="6:48">
      <c r="F90" s="18" t="e">
        <f t="shared" ca="1" si="2"/>
        <v>#REF!</v>
      </c>
      <c r="G90" s="18"/>
      <c r="H90" s="19">
        <v>88</v>
      </c>
      <c r="I90" s="18"/>
      <c r="J90" s="18"/>
      <c r="AU90" s="45" t="e">
        <f t="shared" ca="1" si="3"/>
        <v>#REF!</v>
      </c>
      <c r="AV90" s="28"/>
    </row>
    <row r="91" spans="6:48">
      <c r="F91" s="18" t="e">
        <f t="shared" ca="1" si="2"/>
        <v>#REF!</v>
      </c>
      <c r="G91" s="18"/>
      <c r="H91" s="19">
        <v>89</v>
      </c>
      <c r="I91" s="18"/>
      <c r="J91" s="18"/>
      <c r="AU91" s="45" t="e">
        <f t="shared" ca="1" si="3"/>
        <v>#REF!</v>
      </c>
      <c r="AV91" s="28"/>
    </row>
    <row r="92" spans="6:48">
      <c r="F92" s="18" t="e">
        <f t="shared" ca="1" si="2"/>
        <v>#REF!</v>
      </c>
      <c r="G92" s="18"/>
      <c r="H92" s="19">
        <v>90</v>
      </c>
      <c r="I92" s="18"/>
      <c r="J92" s="18"/>
      <c r="AU92" s="45" t="e">
        <f t="shared" ca="1" si="3"/>
        <v>#REF!</v>
      </c>
      <c r="AV92" s="28"/>
    </row>
    <row r="93" spans="6:48">
      <c r="F93" s="18" t="e">
        <f t="shared" ca="1" si="2"/>
        <v>#REF!</v>
      </c>
      <c r="G93" s="18"/>
      <c r="H93" s="19">
        <v>91</v>
      </c>
      <c r="I93" s="18"/>
      <c r="J93" s="18"/>
      <c r="AU93" s="45" t="e">
        <f t="shared" ca="1" si="3"/>
        <v>#REF!</v>
      </c>
      <c r="AV93" s="28"/>
    </row>
    <row r="94" spans="6:48">
      <c r="F94" s="18" t="e">
        <f t="shared" ca="1" si="2"/>
        <v>#REF!</v>
      </c>
      <c r="G94" s="18"/>
      <c r="H94" s="19">
        <v>92</v>
      </c>
      <c r="I94" s="18"/>
      <c r="J94" s="18"/>
      <c r="AU94" s="45" t="e">
        <f t="shared" ca="1" si="3"/>
        <v>#REF!</v>
      </c>
      <c r="AV94" s="28"/>
    </row>
    <row r="95" spans="6:48">
      <c r="F95" s="18" t="e">
        <f t="shared" ca="1" si="2"/>
        <v>#REF!</v>
      </c>
      <c r="G95" s="18"/>
      <c r="H95" s="19">
        <v>93</v>
      </c>
      <c r="I95" s="18"/>
      <c r="J95" s="18"/>
      <c r="AU95" s="45" t="e">
        <f t="shared" ca="1" si="3"/>
        <v>#REF!</v>
      </c>
      <c r="AV95" s="28"/>
    </row>
    <row r="96" spans="6:48">
      <c r="F96" s="18" t="e">
        <f t="shared" ca="1" si="2"/>
        <v>#REF!</v>
      </c>
      <c r="G96" s="18"/>
      <c r="H96" s="19">
        <v>94</v>
      </c>
      <c r="I96" s="18"/>
      <c r="J96" s="18"/>
      <c r="AU96" s="45" t="e">
        <f t="shared" ca="1" si="3"/>
        <v>#REF!</v>
      </c>
      <c r="AV96" s="28"/>
    </row>
    <row r="97" spans="6:48">
      <c r="F97" s="18" t="e">
        <f t="shared" ca="1" si="2"/>
        <v>#REF!</v>
      </c>
      <c r="G97" s="18"/>
      <c r="H97" s="19">
        <v>95</v>
      </c>
      <c r="I97" s="18"/>
      <c r="J97" s="18"/>
      <c r="AU97" s="45" t="e">
        <f t="shared" ca="1" si="3"/>
        <v>#REF!</v>
      </c>
      <c r="AV97" s="28"/>
    </row>
    <row r="98" spans="6:48">
      <c r="F98" s="18" t="e">
        <f t="shared" ca="1" si="2"/>
        <v>#REF!</v>
      </c>
      <c r="G98" s="18"/>
      <c r="H98" s="19">
        <v>96</v>
      </c>
      <c r="I98" s="18"/>
      <c r="J98" s="18"/>
      <c r="AU98" s="45" t="e">
        <f t="shared" ca="1" si="3"/>
        <v>#REF!</v>
      </c>
      <c r="AV98" s="28"/>
    </row>
    <row r="99" spans="6:48">
      <c r="F99" s="18" t="e">
        <f t="shared" ca="1" si="2"/>
        <v>#REF!</v>
      </c>
      <c r="G99" s="18"/>
      <c r="H99" s="19">
        <v>97</v>
      </c>
      <c r="I99" s="18"/>
      <c r="J99" s="18"/>
      <c r="AU99" s="45" t="e">
        <f t="shared" ca="1" si="3"/>
        <v>#REF!</v>
      </c>
      <c r="AV99" s="28"/>
    </row>
    <row r="100" spans="6:48">
      <c r="F100" s="18" t="e">
        <f t="shared" ca="1" si="2"/>
        <v>#REF!</v>
      </c>
      <c r="G100" s="18"/>
      <c r="H100" s="19">
        <v>98</v>
      </c>
      <c r="I100" s="18"/>
      <c r="J100" s="18"/>
      <c r="AU100" s="45" t="e">
        <f t="shared" ca="1" si="3"/>
        <v>#REF!</v>
      </c>
      <c r="AV100" s="28"/>
    </row>
    <row r="101" spans="6:48">
      <c r="F101" s="18" t="e">
        <f t="shared" ca="1" si="2"/>
        <v>#REF!</v>
      </c>
      <c r="G101" s="18"/>
      <c r="H101" s="19">
        <v>99</v>
      </c>
      <c r="I101" s="18"/>
      <c r="J101" s="18"/>
      <c r="AU101" s="45" t="e">
        <f t="shared" ca="1" si="3"/>
        <v>#REF!</v>
      </c>
      <c r="AV101" s="28"/>
    </row>
    <row r="102" spans="6:48">
      <c r="F102" s="18" t="e">
        <f t="shared" ca="1" si="2"/>
        <v>#REF!</v>
      </c>
      <c r="G102" s="18"/>
      <c r="H102" s="19">
        <v>100</v>
      </c>
      <c r="I102" s="18"/>
      <c r="J102" s="18"/>
      <c r="AU102" s="45" t="e">
        <f t="shared" ca="1" si="3"/>
        <v>#REF!</v>
      </c>
      <c r="AV102" s="28"/>
    </row>
    <row r="103" spans="6:48">
      <c r="F103" s="18" t="e">
        <f t="shared" ca="1" si="2"/>
        <v>#REF!</v>
      </c>
      <c r="G103" s="18"/>
      <c r="H103" s="19">
        <v>101</v>
      </c>
      <c r="I103" s="18"/>
      <c r="J103" s="18"/>
      <c r="AU103" s="45" t="e">
        <f t="shared" ca="1" si="3"/>
        <v>#REF!</v>
      </c>
      <c r="AV103" s="28"/>
    </row>
    <row r="104" spans="6:48">
      <c r="F104" s="18" t="e">
        <f t="shared" ca="1" si="2"/>
        <v>#REF!</v>
      </c>
      <c r="G104" s="18"/>
      <c r="H104" s="19">
        <v>102</v>
      </c>
      <c r="I104" s="18"/>
      <c r="J104" s="18"/>
      <c r="AU104" s="45" t="e">
        <f t="shared" ca="1" si="3"/>
        <v>#REF!</v>
      </c>
      <c r="AV104" s="28"/>
    </row>
    <row r="105" spans="6:48">
      <c r="F105" s="18" t="e">
        <f t="shared" ca="1" si="2"/>
        <v>#REF!</v>
      </c>
      <c r="G105" s="18"/>
      <c r="H105" s="19">
        <v>103</v>
      </c>
      <c r="I105" s="18"/>
      <c r="J105" s="18"/>
      <c r="AU105" s="45" t="e">
        <f t="shared" ca="1" si="3"/>
        <v>#REF!</v>
      </c>
      <c r="AV105" s="28"/>
    </row>
    <row r="106" spans="6:48">
      <c r="F106" s="18" t="e">
        <f t="shared" ca="1" si="2"/>
        <v>#REF!</v>
      </c>
      <c r="G106" s="18"/>
      <c r="H106" s="19">
        <v>104</v>
      </c>
      <c r="I106" s="18"/>
      <c r="J106" s="18"/>
      <c r="AU106" s="45" t="e">
        <f t="shared" ca="1" si="3"/>
        <v>#REF!</v>
      </c>
      <c r="AV106" s="28"/>
    </row>
    <row r="107" spans="6:48">
      <c r="F107" s="18" t="e">
        <f t="shared" ca="1" si="2"/>
        <v>#REF!</v>
      </c>
      <c r="G107" s="18"/>
      <c r="H107" s="19">
        <v>105</v>
      </c>
      <c r="I107" s="18"/>
      <c r="J107" s="18"/>
      <c r="AU107" s="45" t="e">
        <f t="shared" ca="1" si="3"/>
        <v>#REF!</v>
      </c>
      <c r="AV107" s="28"/>
    </row>
    <row r="108" spans="6:48">
      <c r="F108" s="18" t="e">
        <f t="shared" ca="1" si="2"/>
        <v>#REF!</v>
      </c>
      <c r="G108" s="18"/>
      <c r="H108" s="19">
        <v>106</v>
      </c>
      <c r="I108" s="18"/>
      <c r="J108" s="18"/>
      <c r="AU108" s="45" t="e">
        <f t="shared" ca="1" si="3"/>
        <v>#REF!</v>
      </c>
      <c r="AV108" s="28"/>
    </row>
    <row r="109" spans="6:48">
      <c r="F109" s="18" t="e">
        <f t="shared" ca="1" si="2"/>
        <v>#REF!</v>
      </c>
      <c r="G109" s="18"/>
      <c r="H109" s="19">
        <v>107</v>
      </c>
      <c r="I109" s="18"/>
      <c r="J109" s="18"/>
      <c r="AU109" s="45" t="e">
        <f t="shared" ca="1" si="3"/>
        <v>#REF!</v>
      </c>
      <c r="AV109" s="28"/>
    </row>
    <row r="110" spans="6:48">
      <c r="F110" s="18" t="e">
        <f t="shared" ca="1" si="2"/>
        <v>#REF!</v>
      </c>
      <c r="G110" s="18"/>
      <c r="H110" s="19">
        <v>108</v>
      </c>
      <c r="I110" s="18"/>
      <c r="J110" s="18"/>
      <c r="AU110" s="45" t="e">
        <f t="shared" ca="1" si="3"/>
        <v>#REF!</v>
      </c>
      <c r="AV110" s="28"/>
    </row>
    <row r="111" spans="6:48">
      <c r="F111" s="18" t="e">
        <f t="shared" ca="1" si="2"/>
        <v>#REF!</v>
      </c>
      <c r="G111" s="18"/>
      <c r="H111" s="19">
        <v>109</v>
      </c>
      <c r="I111" s="18"/>
      <c r="J111" s="18"/>
      <c r="AU111" s="45" t="e">
        <f t="shared" ca="1" si="3"/>
        <v>#REF!</v>
      </c>
      <c r="AV111" s="28"/>
    </row>
    <row r="112" spans="6:48">
      <c r="F112" s="18" t="e">
        <f t="shared" ca="1" si="2"/>
        <v>#REF!</v>
      </c>
      <c r="G112" s="18"/>
      <c r="H112" s="19">
        <v>110</v>
      </c>
      <c r="I112" s="18"/>
      <c r="J112" s="18"/>
      <c r="AU112" s="45" t="e">
        <f t="shared" ca="1" si="3"/>
        <v>#REF!</v>
      </c>
      <c r="AV112" s="28"/>
    </row>
    <row r="113" spans="6:48">
      <c r="F113" s="18" t="e">
        <f t="shared" ca="1" si="2"/>
        <v>#REF!</v>
      </c>
      <c r="G113" s="18"/>
      <c r="H113" s="19">
        <v>111</v>
      </c>
      <c r="I113" s="18"/>
      <c r="J113" s="18"/>
      <c r="AU113" s="45" t="e">
        <f t="shared" ca="1" si="3"/>
        <v>#REF!</v>
      </c>
      <c r="AV113" s="28"/>
    </row>
    <row r="114" spans="6:48">
      <c r="F114" s="18" t="e">
        <f t="shared" ca="1" si="2"/>
        <v>#REF!</v>
      </c>
      <c r="G114" s="18"/>
      <c r="H114" s="19">
        <v>112</v>
      </c>
      <c r="I114" s="18"/>
      <c r="J114" s="18"/>
      <c r="AU114" s="45" t="e">
        <f t="shared" ca="1" si="3"/>
        <v>#REF!</v>
      </c>
      <c r="AV114" s="28"/>
    </row>
    <row r="115" spans="6:48">
      <c r="F115" s="18" t="e">
        <f t="shared" ca="1" si="2"/>
        <v>#REF!</v>
      </c>
      <c r="G115" s="18"/>
      <c r="H115" s="19">
        <v>113</v>
      </c>
      <c r="I115" s="18"/>
      <c r="J115" s="18"/>
      <c r="AU115" s="45" t="e">
        <f t="shared" ca="1" si="3"/>
        <v>#REF!</v>
      </c>
      <c r="AV115" s="28"/>
    </row>
    <row r="116" spans="6:48">
      <c r="F116" s="18" t="e">
        <f t="shared" ca="1" si="2"/>
        <v>#REF!</v>
      </c>
      <c r="G116" s="18"/>
      <c r="H116" s="19">
        <v>114</v>
      </c>
      <c r="I116" s="18"/>
      <c r="J116" s="18"/>
      <c r="AU116" s="45" t="e">
        <f t="shared" ca="1" si="3"/>
        <v>#REF!</v>
      </c>
      <c r="AV116" s="28"/>
    </row>
    <row r="117" spans="6:48">
      <c r="F117" s="18" t="e">
        <f t="shared" ca="1" si="2"/>
        <v>#REF!</v>
      </c>
      <c r="G117" s="18"/>
      <c r="H117" s="19">
        <v>115</v>
      </c>
      <c r="I117" s="18"/>
      <c r="J117" s="18"/>
      <c r="AU117" s="45" t="e">
        <f t="shared" ca="1" si="3"/>
        <v>#REF!</v>
      </c>
      <c r="AV117" s="28"/>
    </row>
    <row r="118" spans="6:48">
      <c r="F118" s="18" t="e">
        <f t="shared" ca="1" si="2"/>
        <v>#REF!</v>
      </c>
      <c r="G118" s="18"/>
      <c r="H118" s="19">
        <v>116</v>
      </c>
      <c r="I118" s="18"/>
      <c r="J118" s="18"/>
      <c r="AU118" s="45" t="e">
        <f t="shared" ca="1" si="3"/>
        <v>#REF!</v>
      </c>
      <c r="AV118" s="28"/>
    </row>
    <row r="119" spans="6:48">
      <c r="F119" s="18" t="e">
        <f t="shared" ca="1" si="2"/>
        <v>#REF!</v>
      </c>
      <c r="G119" s="18"/>
      <c r="H119" s="19">
        <v>117</v>
      </c>
      <c r="I119" s="18"/>
      <c r="J119" s="18"/>
      <c r="AU119" s="45" t="e">
        <f t="shared" ca="1" si="3"/>
        <v>#REF!</v>
      </c>
      <c r="AV119" s="28"/>
    </row>
    <row r="120" spans="6:48">
      <c r="F120" s="18" t="e">
        <f t="shared" ca="1" si="2"/>
        <v>#REF!</v>
      </c>
      <c r="G120" s="18"/>
      <c r="H120" s="19">
        <v>118</v>
      </c>
      <c r="I120" s="18"/>
      <c r="J120" s="18"/>
      <c r="AU120" s="45" t="e">
        <f t="shared" ca="1" si="3"/>
        <v>#REF!</v>
      </c>
      <c r="AV120" s="28"/>
    </row>
    <row r="121" spans="6:48">
      <c r="F121" s="18" t="e">
        <f t="shared" ca="1" si="2"/>
        <v>#REF!</v>
      </c>
      <c r="G121" s="18"/>
      <c r="H121" s="19">
        <v>119</v>
      </c>
      <c r="I121" s="18"/>
      <c r="J121" s="18"/>
      <c r="AU121" s="45" t="e">
        <f t="shared" ca="1" si="3"/>
        <v>#REF!</v>
      </c>
      <c r="AV121" s="28"/>
    </row>
    <row r="122" spans="6:48">
      <c r="F122" s="18" t="e">
        <f t="shared" ca="1" si="2"/>
        <v>#REF!</v>
      </c>
      <c r="G122" s="18"/>
      <c r="H122" s="19">
        <v>120</v>
      </c>
      <c r="I122" s="18"/>
      <c r="J122" s="18"/>
      <c r="AU122" s="45" t="e">
        <f t="shared" ca="1" si="3"/>
        <v>#REF!</v>
      </c>
      <c r="AV122" s="28"/>
    </row>
    <row r="123" spans="6:48">
      <c r="F123" s="18" t="e">
        <f t="shared" ca="1" si="2"/>
        <v>#REF!</v>
      </c>
      <c r="G123" s="18"/>
      <c r="H123" s="19">
        <v>121</v>
      </c>
      <c r="I123" s="18"/>
      <c r="J123" s="18"/>
      <c r="AU123" s="45" t="e">
        <f t="shared" ca="1" si="3"/>
        <v>#REF!</v>
      </c>
      <c r="AV123" s="28"/>
    </row>
    <row r="124" spans="6:48">
      <c r="F124" s="18" t="e">
        <f t="shared" ca="1" si="2"/>
        <v>#REF!</v>
      </c>
      <c r="G124" s="18"/>
      <c r="H124" s="19">
        <v>122</v>
      </c>
      <c r="I124" s="18"/>
      <c r="J124" s="18"/>
      <c r="AU124" s="45" t="e">
        <f t="shared" ca="1" si="3"/>
        <v>#REF!</v>
      </c>
      <c r="AV124" s="28"/>
    </row>
    <row r="125" spans="6:48">
      <c r="F125" s="18" t="e">
        <f t="shared" ca="1" si="2"/>
        <v>#REF!</v>
      </c>
      <c r="G125" s="18"/>
      <c r="H125" s="19">
        <v>123</v>
      </c>
      <c r="I125" s="18"/>
      <c r="J125" s="18"/>
      <c r="AU125" s="45" t="e">
        <f t="shared" ca="1" si="3"/>
        <v>#REF!</v>
      </c>
      <c r="AV125" s="28"/>
    </row>
    <row r="126" spans="6:48">
      <c r="F126" s="18" t="e">
        <f t="shared" ca="1" si="2"/>
        <v>#REF!</v>
      </c>
      <c r="G126" s="18"/>
      <c r="H126" s="19">
        <v>124</v>
      </c>
      <c r="I126" s="18"/>
      <c r="J126" s="18"/>
      <c r="AU126" s="45" t="e">
        <f t="shared" ca="1" si="3"/>
        <v>#REF!</v>
      </c>
      <c r="AV126" s="28"/>
    </row>
    <row r="127" spans="6:48">
      <c r="F127" s="18" t="e">
        <f t="shared" ca="1" si="2"/>
        <v>#REF!</v>
      </c>
      <c r="G127" s="18"/>
      <c r="H127" s="19">
        <v>125</v>
      </c>
      <c r="I127" s="18"/>
      <c r="J127" s="18"/>
      <c r="AU127" s="45" t="e">
        <f t="shared" ca="1" si="3"/>
        <v>#REF!</v>
      </c>
      <c r="AV127" s="28"/>
    </row>
    <row r="128" spans="6:48">
      <c r="F128" s="18" t="e">
        <f t="shared" ca="1" si="2"/>
        <v>#REF!</v>
      </c>
      <c r="G128" s="18"/>
      <c r="H128" s="19">
        <v>126</v>
      </c>
      <c r="I128" s="18"/>
      <c r="J128" s="18"/>
      <c r="AU128" s="45" t="e">
        <f t="shared" ca="1" si="3"/>
        <v>#REF!</v>
      </c>
      <c r="AV128" s="28"/>
    </row>
    <row r="129" spans="6:48">
      <c r="F129" s="18" t="e">
        <f t="shared" ca="1" si="2"/>
        <v>#REF!</v>
      </c>
      <c r="G129" s="18"/>
      <c r="H129" s="19">
        <v>127</v>
      </c>
      <c r="I129" s="18"/>
      <c r="J129" s="18"/>
      <c r="AU129" s="45" t="e">
        <f t="shared" ca="1" si="3"/>
        <v>#REF!</v>
      </c>
      <c r="AV129" s="28"/>
    </row>
    <row r="130" spans="6:48">
      <c r="F130" s="18" t="e">
        <f t="shared" ca="1" si="2"/>
        <v>#REF!</v>
      </c>
      <c r="G130" s="18"/>
      <c r="H130" s="19">
        <v>128</v>
      </c>
      <c r="I130" s="18"/>
      <c r="J130" s="18"/>
      <c r="AU130" s="45" t="e">
        <f t="shared" ca="1" si="3"/>
        <v>#REF!</v>
      </c>
      <c r="AV130" s="28"/>
    </row>
    <row r="131" spans="6:48">
      <c r="F131" s="18" t="e">
        <f t="shared" ca="1" si="2"/>
        <v>#REF!</v>
      </c>
      <c r="G131" s="18"/>
      <c r="H131" s="19">
        <v>129</v>
      </c>
      <c r="I131" s="18"/>
      <c r="J131" s="18"/>
      <c r="AU131" s="45" t="e">
        <f t="shared" ca="1" si="3"/>
        <v>#REF!</v>
      </c>
      <c r="AV131" s="28"/>
    </row>
    <row r="132" spans="6:48">
      <c r="F132" s="18" t="e">
        <f t="shared" ref="F132:F195" ca="1" si="4">_xlfn.IFNA(IF($H132+1&gt;$G$2,"",INDEX(INDIRECT("SubnetsVLANs!$D$"&amp;$H132+2&amp;":$D$"&amp;$G$2),MATCH("vlan*",INDIRECT("SubnetsVLANs!$E$"&amp;$H132+2&amp;":$E$"&amp;$G$2),0))),"")</f>
        <v>#REF!</v>
      </c>
      <c r="G132" s="18"/>
      <c r="H132" s="19">
        <v>130</v>
      </c>
      <c r="I132" s="18"/>
      <c r="J132" s="18"/>
      <c r="AU132" s="45" t="e">
        <f t="shared" ref="AU132:AU195" ca="1" si="5">_xlfn.IFNA(IF($H132+1&gt;$G$2,"",INDEX(INDIRECT("SubnetsVLANs!$D$"&amp;$H132+2&amp;":$D$"&amp;$G$2),MATCH("Subnet*",INDIRECT("SubnetsVLANs!$E$"&amp;$H132+2&amp;":$E$"&amp;$G$2),0))),"")</f>
        <v>#REF!</v>
      </c>
      <c r="AV132" s="28"/>
    </row>
    <row r="133" spans="6:48">
      <c r="F133" s="18" t="e">
        <f t="shared" ca="1" si="4"/>
        <v>#REF!</v>
      </c>
      <c r="G133" s="18"/>
      <c r="H133" s="19">
        <v>131</v>
      </c>
      <c r="I133" s="18"/>
      <c r="J133" s="18"/>
      <c r="AU133" s="45" t="e">
        <f t="shared" ca="1" si="5"/>
        <v>#REF!</v>
      </c>
      <c r="AV133" s="28"/>
    </row>
    <row r="134" spans="6:48">
      <c r="F134" s="18" t="e">
        <f t="shared" ca="1" si="4"/>
        <v>#REF!</v>
      </c>
      <c r="G134" s="18"/>
      <c r="H134" s="19">
        <v>132</v>
      </c>
      <c r="I134" s="18"/>
      <c r="J134" s="18"/>
      <c r="AU134" s="45" t="e">
        <f t="shared" ca="1" si="5"/>
        <v>#REF!</v>
      </c>
      <c r="AV134" s="28"/>
    </row>
    <row r="135" spans="6:48">
      <c r="F135" s="18" t="e">
        <f t="shared" ca="1" si="4"/>
        <v>#REF!</v>
      </c>
      <c r="G135" s="18"/>
      <c r="H135" s="19">
        <v>133</v>
      </c>
      <c r="I135" s="18"/>
      <c r="J135" s="18"/>
      <c r="AU135" s="45" t="e">
        <f t="shared" ca="1" si="5"/>
        <v>#REF!</v>
      </c>
      <c r="AV135" s="28"/>
    </row>
    <row r="136" spans="6:48">
      <c r="F136" s="18" t="e">
        <f t="shared" ca="1" si="4"/>
        <v>#REF!</v>
      </c>
      <c r="G136" s="18"/>
      <c r="H136" s="19">
        <v>134</v>
      </c>
      <c r="I136" s="18"/>
      <c r="J136" s="18"/>
      <c r="AU136" s="45" t="e">
        <f t="shared" ca="1" si="5"/>
        <v>#REF!</v>
      </c>
      <c r="AV136" s="28"/>
    </row>
    <row r="137" spans="6:48">
      <c r="F137" s="18" t="e">
        <f t="shared" ca="1" si="4"/>
        <v>#REF!</v>
      </c>
      <c r="G137" s="18"/>
      <c r="H137" s="19">
        <v>135</v>
      </c>
      <c r="I137" s="18"/>
      <c r="J137" s="18"/>
      <c r="AU137" s="45" t="e">
        <f t="shared" ca="1" si="5"/>
        <v>#REF!</v>
      </c>
      <c r="AV137" s="28"/>
    </row>
    <row r="138" spans="6:48">
      <c r="F138" s="18" t="e">
        <f t="shared" ca="1" si="4"/>
        <v>#REF!</v>
      </c>
      <c r="G138" s="18"/>
      <c r="H138" s="19">
        <v>136</v>
      </c>
      <c r="I138" s="18"/>
      <c r="J138" s="18"/>
      <c r="AU138" s="45" t="e">
        <f t="shared" ca="1" si="5"/>
        <v>#REF!</v>
      </c>
      <c r="AV138" s="28"/>
    </row>
    <row r="139" spans="6:48">
      <c r="F139" s="18" t="e">
        <f t="shared" ca="1" si="4"/>
        <v>#REF!</v>
      </c>
      <c r="G139" s="18"/>
      <c r="H139" s="19">
        <v>137</v>
      </c>
      <c r="I139" s="18"/>
      <c r="J139" s="18"/>
      <c r="AU139" s="45" t="e">
        <f t="shared" ca="1" si="5"/>
        <v>#REF!</v>
      </c>
      <c r="AV139" s="28"/>
    </row>
    <row r="140" spans="6:48">
      <c r="F140" s="18" t="e">
        <f t="shared" ca="1" si="4"/>
        <v>#REF!</v>
      </c>
      <c r="G140" s="18"/>
      <c r="H140" s="19">
        <v>138</v>
      </c>
      <c r="I140" s="18"/>
      <c r="J140" s="18"/>
      <c r="AU140" s="45" t="e">
        <f t="shared" ca="1" si="5"/>
        <v>#REF!</v>
      </c>
      <c r="AV140" s="28"/>
    </row>
    <row r="141" spans="6:48">
      <c r="F141" s="18" t="e">
        <f t="shared" ca="1" si="4"/>
        <v>#REF!</v>
      </c>
      <c r="G141" s="18"/>
      <c r="H141" s="19">
        <v>139</v>
      </c>
      <c r="I141" s="18"/>
      <c r="J141" s="18"/>
      <c r="AU141" s="45" t="e">
        <f t="shared" ca="1" si="5"/>
        <v>#REF!</v>
      </c>
      <c r="AV141" s="28"/>
    </row>
    <row r="142" spans="6:48">
      <c r="F142" s="18" t="e">
        <f t="shared" ca="1" si="4"/>
        <v>#REF!</v>
      </c>
      <c r="G142" s="18"/>
      <c r="H142" s="19">
        <v>140</v>
      </c>
      <c r="I142" s="18"/>
      <c r="J142" s="18"/>
      <c r="AU142" s="45" t="e">
        <f t="shared" ca="1" si="5"/>
        <v>#REF!</v>
      </c>
      <c r="AV142" s="28"/>
    </row>
    <row r="143" spans="6:48">
      <c r="F143" s="18" t="e">
        <f t="shared" ca="1" si="4"/>
        <v>#REF!</v>
      </c>
      <c r="G143" s="18"/>
      <c r="H143" s="19">
        <v>141</v>
      </c>
      <c r="I143" s="18"/>
      <c r="J143" s="18"/>
      <c r="AU143" s="45" t="e">
        <f t="shared" ca="1" si="5"/>
        <v>#REF!</v>
      </c>
      <c r="AV143" s="28"/>
    </row>
    <row r="144" spans="6:48">
      <c r="F144" s="18" t="e">
        <f t="shared" ca="1" si="4"/>
        <v>#REF!</v>
      </c>
      <c r="G144" s="18"/>
      <c r="H144" s="19">
        <v>142</v>
      </c>
      <c r="I144" s="18"/>
      <c r="J144" s="18"/>
      <c r="AU144" s="45" t="e">
        <f t="shared" ca="1" si="5"/>
        <v>#REF!</v>
      </c>
      <c r="AV144" s="28"/>
    </row>
    <row r="145" spans="6:48">
      <c r="F145" s="18" t="e">
        <f t="shared" ca="1" si="4"/>
        <v>#REF!</v>
      </c>
      <c r="G145" s="18"/>
      <c r="H145" s="19">
        <v>143</v>
      </c>
      <c r="I145" s="18"/>
      <c r="J145" s="18"/>
      <c r="AU145" s="45" t="e">
        <f t="shared" ca="1" si="5"/>
        <v>#REF!</v>
      </c>
      <c r="AV145" s="28"/>
    </row>
    <row r="146" spans="6:48">
      <c r="F146" s="18" t="e">
        <f t="shared" ca="1" si="4"/>
        <v>#REF!</v>
      </c>
      <c r="G146" s="18"/>
      <c r="H146" s="19">
        <v>144</v>
      </c>
      <c r="I146" s="18"/>
      <c r="J146" s="18"/>
      <c r="AU146" s="45" t="e">
        <f t="shared" ca="1" si="5"/>
        <v>#REF!</v>
      </c>
      <c r="AV146" s="28"/>
    </row>
    <row r="147" spans="6:48">
      <c r="F147" s="18" t="e">
        <f t="shared" ca="1" si="4"/>
        <v>#REF!</v>
      </c>
      <c r="G147" s="18"/>
      <c r="H147" s="19">
        <v>145</v>
      </c>
      <c r="I147" s="18"/>
      <c r="J147" s="18"/>
      <c r="AU147" s="45" t="e">
        <f t="shared" ca="1" si="5"/>
        <v>#REF!</v>
      </c>
      <c r="AV147" s="28"/>
    </row>
    <row r="148" spans="6:48">
      <c r="F148" s="18" t="e">
        <f t="shared" ca="1" si="4"/>
        <v>#REF!</v>
      </c>
      <c r="G148" s="18"/>
      <c r="H148" s="19">
        <v>146</v>
      </c>
      <c r="I148" s="18"/>
      <c r="J148" s="18"/>
      <c r="AU148" s="45" t="e">
        <f t="shared" ca="1" si="5"/>
        <v>#REF!</v>
      </c>
      <c r="AV148" s="28"/>
    </row>
    <row r="149" spans="6:48">
      <c r="F149" s="18" t="e">
        <f t="shared" ca="1" si="4"/>
        <v>#REF!</v>
      </c>
      <c r="G149" s="18"/>
      <c r="H149" s="19">
        <v>147</v>
      </c>
      <c r="I149" s="18"/>
      <c r="J149" s="18"/>
      <c r="AU149" s="45" t="e">
        <f t="shared" ca="1" si="5"/>
        <v>#REF!</v>
      </c>
      <c r="AV149" s="28"/>
    </row>
    <row r="150" spans="6:48">
      <c r="F150" s="18" t="e">
        <f t="shared" ca="1" si="4"/>
        <v>#REF!</v>
      </c>
      <c r="G150" s="18"/>
      <c r="H150" s="19">
        <v>148</v>
      </c>
      <c r="I150" s="18"/>
      <c r="J150" s="18"/>
      <c r="AU150" s="45" t="e">
        <f t="shared" ca="1" si="5"/>
        <v>#REF!</v>
      </c>
      <c r="AV150" s="28"/>
    </row>
    <row r="151" spans="6:48">
      <c r="F151" s="18" t="e">
        <f t="shared" ca="1" si="4"/>
        <v>#REF!</v>
      </c>
      <c r="G151" s="18"/>
      <c r="H151" s="19">
        <v>149</v>
      </c>
      <c r="I151" s="18"/>
      <c r="J151" s="18"/>
      <c r="AU151" s="45" t="e">
        <f t="shared" ca="1" si="5"/>
        <v>#REF!</v>
      </c>
      <c r="AV151" s="28"/>
    </row>
    <row r="152" spans="6:48">
      <c r="F152" s="18" t="e">
        <f t="shared" ca="1" si="4"/>
        <v>#REF!</v>
      </c>
      <c r="G152" s="18"/>
      <c r="H152" s="19">
        <v>150</v>
      </c>
      <c r="I152" s="18"/>
      <c r="J152" s="18"/>
      <c r="AU152" s="45" t="e">
        <f t="shared" ca="1" si="5"/>
        <v>#REF!</v>
      </c>
      <c r="AV152" s="28"/>
    </row>
    <row r="153" spans="6:48">
      <c r="F153" s="18" t="e">
        <f t="shared" ca="1" si="4"/>
        <v>#REF!</v>
      </c>
      <c r="G153" s="18"/>
      <c r="H153" s="19">
        <v>151</v>
      </c>
      <c r="I153" s="18"/>
      <c r="J153" s="18"/>
      <c r="AU153" s="45" t="e">
        <f t="shared" ca="1" si="5"/>
        <v>#REF!</v>
      </c>
      <c r="AV153" s="28"/>
    </row>
    <row r="154" spans="6:48">
      <c r="F154" s="18" t="e">
        <f t="shared" ca="1" si="4"/>
        <v>#REF!</v>
      </c>
      <c r="G154" s="18"/>
      <c r="H154" s="19">
        <v>152</v>
      </c>
      <c r="I154" s="18"/>
      <c r="J154" s="18"/>
      <c r="AU154" s="45" t="e">
        <f t="shared" ca="1" si="5"/>
        <v>#REF!</v>
      </c>
      <c r="AV154" s="28"/>
    </row>
    <row r="155" spans="6:48">
      <c r="F155" s="18" t="e">
        <f t="shared" ca="1" si="4"/>
        <v>#REF!</v>
      </c>
      <c r="G155" s="18"/>
      <c r="H155" s="19">
        <v>153</v>
      </c>
      <c r="I155" s="18"/>
      <c r="J155" s="18"/>
      <c r="AU155" s="45" t="e">
        <f t="shared" ca="1" si="5"/>
        <v>#REF!</v>
      </c>
      <c r="AV155" s="28"/>
    </row>
    <row r="156" spans="6:48">
      <c r="F156" s="18" t="e">
        <f t="shared" ca="1" si="4"/>
        <v>#REF!</v>
      </c>
      <c r="G156" s="18"/>
      <c r="H156" s="19">
        <v>154</v>
      </c>
      <c r="I156" s="18"/>
      <c r="J156" s="18"/>
      <c r="AU156" s="45" t="e">
        <f t="shared" ca="1" si="5"/>
        <v>#REF!</v>
      </c>
      <c r="AV156" s="28"/>
    </row>
    <row r="157" spans="6:48">
      <c r="F157" s="18" t="e">
        <f t="shared" ca="1" si="4"/>
        <v>#REF!</v>
      </c>
      <c r="G157" s="18"/>
      <c r="H157" s="19">
        <v>155</v>
      </c>
      <c r="I157" s="18"/>
      <c r="J157" s="18"/>
      <c r="AU157" s="45" t="e">
        <f t="shared" ca="1" si="5"/>
        <v>#REF!</v>
      </c>
      <c r="AV157" s="28"/>
    </row>
    <row r="158" spans="6:48">
      <c r="F158" s="18" t="e">
        <f t="shared" ca="1" si="4"/>
        <v>#REF!</v>
      </c>
      <c r="G158" s="18"/>
      <c r="H158" s="19">
        <v>156</v>
      </c>
      <c r="I158" s="18"/>
      <c r="J158" s="18"/>
      <c r="AU158" s="45" t="e">
        <f t="shared" ca="1" si="5"/>
        <v>#REF!</v>
      </c>
      <c r="AV158" s="28"/>
    </row>
    <row r="159" spans="6:48">
      <c r="F159" s="18" t="e">
        <f t="shared" ca="1" si="4"/>
        <v>#REF!</v>
      </c>
      <c r="G159" s="18"/>
      <c r="H159" s="19">
        <v>157</v>
      </c>
      <c r="I159" s="18"/>
      <c r="J159" s="18"/>
      <c r="AU159" s="45" t="e">
        <f t="shared" ca="1" si="5"/>
        <v>#REF!</v>
      </c>
      <c r="AV159" s="28"/>
    </row>
    <row r="160" spans="6:48">
      <c r="F160" s="18" t="e">
        <f t="shared" ca="1" si="4"/>
        <v>#REF!</v>
      </c>
      <c r="G160" s="18"/>
      <c r="H160" s="19">
        <v>158</v>
      </c>
      <c r="I160" s="18"/>
      <c r="J160" s="18"/>
      <c r="AU160" s="45" t="e">
        <f t="shared" ca="1" si="5"/>
        <v>#REF!</v>
      </c>
      <c r="AV160" s="28"/>
    </row>
    <row r="161" spans="6:48">
      <c r="F161" s="18" t="e">
        <f t="shared" ca="1" si="4"/>
        <v>#REF!</v>
      </c>
      <c r="G161" s="18"/>
      <c r="H161" s="19">
        <v>159</v>
      </c>
      <c r="I161" s="18"/>
      <c r="J161" s="18"/>
      <c r="AU161" s="45" t="e">
        <f t="shared" ca="1" si="5"/>
        <v>#REF!</v>
      </c>
      <c r="AV161" s="28"/>
    </row>
    <row r="162" spans="6:48">
      <c r="F162" s="18" t="e">
        <f t="shared" ca="1" si="4"/>
        <v>#REF!</v>
      </c>
      <c r="G162" s="18"/>
      <c r="H162" s="19">
        <v>160</v>
      </c>
      <c r="I162" s="18"/>
      <c r="J162" s="18"/>
      <c r="AU162" s="45" t="e">
        <f t="shared" ca="1" si="5"/>
        <v>#REF!</v>
      </c>
      <c r="AV162" s="28"/>
    </row>
    <row r="163" spans="6:48">
      <c r="F163" s="18" t="e">
        <f t="shared" ca="1" si="4"/>
        <v>#REF!</v>
      </c>
      <c r="G163" s="18"/>
      <c r="H163" s="19">
        <v>161</v>
      </c>
      <c r="I163" s="18"/>
      <c r="J163" s="18"/>
      <c r="AU163" s="45" t="e">
        <f t="shared" ca="1" si="5"/>
        <v>#REF!</v>
      </c>
      <c r="AV163" s="28"/>
    </row>
    <row r="164" spans="6:48">
      <c r="F164" s="18" t="e">
        <f t="shared" ca="1" si="4"/>
        <v>#REF!</v>
      </c>
      <c r="G164" s="18"/>
      <c r="H164" s="19">
        <v>162</v>
      </c>
      <c r="I164" s="18"/>
      <c r="J164" s="18"/>
      <c r="AU164" s="45" t="e">
        <f t="shared" ca="1" si="5"/>
        <v>#REF!</v>
      </c>
      <c r="AV164" s="28"/>
    </row>
    <row r="165" spans="6:48">
      <c r="F165" s="18" t="e">
        <f t="shared" ca="1" si="4"/>
        <v>#REF!</v>
      </c>
      <c r="G165" s="18"/>
      <c r="H165" s="19">
        <v>163</v>
      </c>
      <c r="I165" s="18"/>
      <c r="J165" s="18"/>
      <c r="AU165" s="45" t="e">
        <f t="shared" ca="1" si="5"/>
        <v>#REF!</v>
      </c>
      <c r="AV165" s="28"/>
    </row>
    <row r="166" spans="6:48">
      <c r="F166" s="18" t="e">
        <f t="shared" ca="1" si="4"/>
        <v>#REF!</v>
      </c>
      <c r="G166" s="18"/>
      <c r="H166" s="19">
        <v>164</v>
      </c>
      <c r="I166" s="18"/>
      <c r="J166" s="18"/>
      <c r="AU166" s="45" t="e">
        <f t="shared" ca="1" si="5"/>
        <v>#REF!</v>
      </c>
      <c r="AV166" s="28"/>
    </row>
    <row r="167" spans="6:48">
      <c r="F167" s="18" t="e">
        <f t="shared" ca="1" si="4"/>
        <v>#REF!</v>
      </c>
      <c r="G167" s="18"/>
      <c r="H167" s="19">
        <v>165</v>
      </c>
      <c r="I167" s="18"/>
      <c r="J167" s="18"/>
      <c r="AU167" s="45" t="e">
        <f t="shared" ca="1" si="5"/>
        <v>#REF!</v>
      </c>
      <c r="AV167" s="28"/>
    </row>
    <row r="168" spans="6:48">
      <c r="F168" s="18" t="e">
        <f t="shared" ca="1" si="4"/>
        <v>#REF!</v>
      </c>
      <c r="G168" s="18"/>
      <c r="H168" s="19">
        <v>166</v>
      </c>
      <c r="I168" s="18"/>
      <c r="J168" s="18"/>
      <c r="AU168" s="45" t="e">
        <f t="shared" ca="1" si="5"/>
        <v>#REF!</v>
      </c>
      <c r="AV168" s="28"/>
    </row>
    <row r="169" spans="6:48">
      <c r="F169" s="18" t="e">
        <f t="shared" ca="1" si="4"/>
        <v>#REF!</v>
      </c>
      <c r="G169" s="18"/>
      <c r="H169" s="19">
        <v>167</v>
      </c>
      <c r="I169" s="18"/>
      <c r="J169" s="18"/>
      <c r="AU169" s="45" t="e">
        <f t="shared" ca="1" si="5"/>
        <v>#REF!</v>
      </c>
      <c r="AV169" s="28"/>
    </row>
    <row r="170" spans="6:48">
      <c r="F170" s="18" t="e">
        <f t="shared" ca="1" si="4"/>
        <v>#REF!</v>
      </c>
      <c r="G170" s="18"/>
      <c r="H170" s="19">
        <v>168</v>
      </c>
      <c r="I170" s="18"/>
      <c r="J170" s="18"/>
      <c r="AU170" s="45" t="e">
        <f t="shared" ca="1" si="5"/>
        <v>#REF!</v>
      </c>
      <c r="AV170" s="28"/>
    </row>
    <row r="171" spans="6:48">
      <c r="F171" s="18" t="e">
        <f t="shared" ca="1" si="4"/>
        <v>#REF!</v>
      </c>
      <c r="G171" s="18"/>
      <c r="H171" s="19">
        <v>169</v>
      </c>
      <c r="I171" s="18"/>
      <c r="J171" s="18"/>
      <c r="AU171" s="45" t="e">
        <f t="shared" ca="1" si="5"/>
        <v>#REF!</v>
      </c>
      <c r="AV171" s="28"/>
    </row>
    <row r="172" spans="6:48">
      <c r="F172" s="18" t="e">
        <f t="shared" ca="1" si="4"/>
        <v>#REF!</v>
      </c>
      <c r="G172" s="18"/>
      <c r="H172" s="19">
        <v>170</v>
      </c>
      <c r="I172" s="18"/>
      <c r="J172" s="18"/>
      <c r="AU172" s="45" t="e">
        <f t="shared" ca="1" si="5"/>
        <v>#REF!</v>
      </c>
      <c r="AV172" s="28"/>
    </row>
    <row r="173" spans="6:48">
      <c r="F173" s="18" t="e">
        <f t="shared" ca="1" si="4"/>
        <v>#REF!</v>
      </c>
      <c r="G173" s="18"/>
      <c r="H173" s="19">
        <v>171</v>
      </c>
      <c r="I173" s="18"/>
      <c r="J173" s="18"/>
      <c r="AU173" s="45" t="e">
        <f t="shared" ca="1" si="5"/>
        <v>#REF!</v>
      </c>
      <c r="AV173" s="28"/>
    </row>
    <row r="174" spans="6:48">
      <c r="F174" s="18" t="e">
        <f t="shared" ca="1" si="4"/>
        <v>#REF!</v>
      </c>
      <c r="G174" s="18"/>
      <c r="H174" s="19">
        <v>172</v>
      </c>
      <c r="I174" s="18"/>
      <c r="J174" s="18"/>
      <c r="AU174" s="45" t="e">
        <f t="shared" ca="1" si="5"/>
        <v>#REF!</v>
      </c>
      <c r="AV174" s="28"/>
    </row>
    <row r="175" spans="6:48">
      <c r="F175" s="18" t="e">
        <f t="shared" ca="1" si="4"/>
        <v>#REF!</v>
      </c>
      <c r="G175" s="18"/>
      <c r="H175" s="19">
        <v>173</v>
      </c>
      <c r="I175" s="18"/>
      <c r="J175" s="18"/>
      <c r="AU175" s="45" t="e">
        <f t="shared" ca="1" si="5"/>
        <v>#REF!</v>
      </c>
      <c r="AV175" s="28"/>
    </row>
    <row r="176" spans="6:48">
      <c r="F176" s="18" t="e">
        <f t="shared" ca="1" si="4"/>
        <v>#REF!</v>
      </c>
      <c r="G176" s="18"/>
      <c r="H176" s="19">
        <v>174</v>
      </c>
      <c r="I176" s="18"/>
      <c r="J176" s="18"/>
      <c r="AU176" s="45" t="e">
        <f t="shared" ca="1" si="5"/>
        <v>#REF!</v>
      </c>
      <c r="AV176" s="28"/>
    </row>
    <row r="177" spans="6:48">
      <c r="F177" s="18" t="e">
        <f t="shared" ca="1" si="4"/>
        <v>#REF!</v>
      </c>
      <c r="G177" s="18"/>
      <c r="H177" s="19">
        <v>175</v>
      </c>
      <c r="I177" s="18"/>
      <c r="J177" s="18"/>
      <c r="AU177" s="45" t="e">
        <f t="shared" ca="1" si="5"/>
        <v>#REF!</v>
      </c>
      <c r="AV177" s="28"/>
    </row>
    <row r="178" spans="6:48">
      <c r="F178" s="18" t="e">
        <f t="shared" ca="1" si="4"/>
        <v>#REF!</v>
      </c>
      <c r="G178" s="18"/>
      <c r="H178" s="19">
        <v>176</v>
      </c>
      <c r="I178" s="18"/>
      <c r="J178" s="18"/>
      <c r="AU178" s="45" t="e">
        <f t="shared" ca="1" si="5"/>
        <v>#REF!</v>
      </c>
      <c r="AV178" s="28"/>
    </row>
    <row r="179" spans="6:48">
      <c r="F179" s="18" t="e">
        <f t="shared" ca="1" si="4"/>
        <v>#REF!</v>
      </c>
      <c r="G179" s="18"/>
      <c r="H179" s="19">
        <v>177</v>
      </c>
      <c r="I179" s="18"/>
      <c r="J179" s="18"/>
      <c r="AU179" s="45" t="e">
        <f t="shared" ca="1" si="5"/>
        <v>#REF!</v>
      </c>
      <c r="AV179" s="28"/>
    </row>
    <row r="180" spans="6:48">
      <c r="F180" s="18" t="e">
        <f t="shared" ca="1" si="4"/>
        <v>#REF!</v>
      </c>
      <c r="G180" s="18"/>
      <c r="H180" s="19">
        <v>178</v>
      </c>
      <c r="I180" s="18"/>
      <c r="J180" s="18"/>
      <c r="AU180" s="45" t="e">
        <f t="shared" ca="1" si="5"/>
        <v>#REF!</v>
      </c>
      <c r="AV180" s="28"/>
    </row>
    <row r="181" spans="6:48">
      <c r="F181" s="18" t="e">
        <f t="shared" ca="1" si="4"/>
        <v>#REF!</v>
      </c>
      <c r="G181" s="18"/>
      <c r="H181" s="19">
        <v>179</v>
      </c>
      <c r="I181" s="18"/>
      <c r="J181" s="18"/>
      <c r="AU181" s="45" t="e">
        <f t="shared" ca="1" si="5"/>
        <v>#REF!</v>
      </c>
      <c r="AV181" s="28"/>
    </row>
    <row r="182" spans="6:48">
      <c r="F182" s="18" t="e">
        <f t="shared" ca="1" si="4"/>
        <v>#REF!</v>
      </c>
      <c r="G182" s="18"/>
      <c r="H182" s="19">
        <v>180</v>
      </c>
      <c r="I182" s="18"/>
      <c r="J182" s="18"/>
      <c r="AU182" s="45" t="e">
        <f t="shared" ca="1" si="5"/>
        <v>#REF!</v>
      </c>
      <c r="AV182" s="28"/>
    </row>
    <row r="183" spans="6:48">
      <c r="F183" s="18" t="e">
        <f t="shared" ca="1" si="4"/>
        <v>#REF!</v>
      </c>
      <c r="G183" s="18"/>
      <c r="H183" s="19">
        <v>181</v>
      </c>
      <c r="I183" s="18"/>
      <c r="J183" s="18"/>
      <c r="AU183" s="45" t="e">
        <f t="shared" ca="1" si="5"/>
        <v>#REF!</v>
      </c>
      <c r="AV183" s="28"/>
    </row>
    <row r="184" spans="6:48">
      <c r="F184" s="18" t="e">
        <f t="shared" ca="1" si="4"/>
        <v>#REF!</v>
      </c>
      <c r="G184" s="18"/>
      <c r="H184" s="19">
        <v>182</v>
      </c>
      <c r="I184" s="18"/>
      <c r="J184" s="18"/>
      <c r="AU184" s="45" t="e">
        <f t="shared" ca="1" si="5"/>
        <v>#REF!</v>
      </c>
      <c r="AV184" s="28"/>
    </row>
    <row r="185" spans="6:48">
      <c r="F185" s="18" t="e">
        <f t="shared" ca="1" si="4"/>
        <v>#REF!</v>
      </c>
      <c r="G185" s="18"/>
      <c r="H185" s="19">
        <v>183</v>
      </c>
      <c r="I185" s="18"/>
      <c r="J185" s="18"/>
      <c r="AU185" s="45" t="e">
        <f t="shared" ca="1" si="5"/>
        <v>#REF!</v>
      </c>
      <c r="AV185" s="28"/>
    </row>
    <row r="186" spans="6:48">
      <c r="F186" s="18" t="e">
        <f t="shared" ca="1" si="4"/>
        <v>#REF!</v>
      </c>
      <c r="G186" s="18"/>
      <c r="H186" s="19">
        <v>184</v>
      </c>
      <c r="I186" s="18"/>
      <c r="J186" s="18"/>
      <c r="AU186" s="45" t="e">
        <f t="shared" ca="1" si="5"/>
        <v>#REF!</v>
      </c>
      <c r="AV186" s="28"/>
    </row>
    <row r="187" spans="6:48">
      <c r="F187" s="18" t="e">
        <f t="shared" ca="1" si="4"/>
        <v>#REF!</v>
      </c>
      <c r="G187" s="18"/>
      <c r="H187" s="19">
        <v>185</v>
      </c>
      <c r="I187" s="18"/>
      <c r="J187" s="18"/>
      <c r="AU187" s="45" t="e">
        <f t="shared" ca="1" si="5"/>
        <v>#REF!</v>
      </c>
      <c r="AV187" s="28"/>
    </row>
    <row r="188" spans="6:48">
      <c r="F188" s="18" t="e">
        <f t="shared" ca="1" si="4"/>
        <v>#REF!</v>
      </c>
      <c r="G188" s="18"/>
      <c r="H188" s="19">
        <v>186</v>
      </c>
      <c r="I188" s="18"/>
      <c r="J188" s="18"/>
      <c r="AU188" s="45" t="e">
        <f t="shared" ca="1" si="5"/>
        <v>#REF!</v>
      </c>
      <c r="AV188" s="28"/>
    </row>
    <row r="189" spans="6:48">
      <c r="F189" s="18" t="e">
        <f t="shared" ca="1" si="4"/>
        <v>#REF!</v>
      </c>
      <c r="G189" s="18"/>
      <c r="H189" s="19">
        <v>187</v>
      </c>
      <c r="I189" s="18"/>
      <c r="J189" s="18"/>
      <c r="AU189" s="45" t="e">
        <f t="shared" ca="1" si="5"/>
        <v>#REF!</v>
      </c>
      <c r="AV189" s="28"/>
    </row>
    <row r="190" spans="6:48">
      <c r="F190" s="18" t="e">
        <f t="shared" ca="1" si="4"/>
        <v>#REF!</v>
      </c>
      <c r="G190" s="18"/>
      <c r="H190" s="19">
        <v>188</v>
      </c>
      <c r="I190" s="18"/>
      <c r="J190" s="18"/>
      <c r="AU190" s="45" t="e">
        <f t="shared" ca="1" si="5"/>
        <v>#REF!</v>
      </c>
      <c r="AV190" s="28"/>
    </row>
    <row r="191" spans="6:48">
      <c r="F191" s="18" t="e">
        <f t="shared" ca="1" si="4"/>
        <v>#REF!</v>
      </c>
      <c r="G191" s="18"/>
      <c r="H191" s="19">
        <v>189</v>
      </c>
      <c r="I191" s="18"/>
      <c r="J191" s="18"/>
      <c r="AU191" s="45" t="e">
        <f t="shared" ca="1" si="5"/>
        <v>#REF!</v>
      </c>
      <c r="AV191" s="28"/>
    </row>
    <row r="192" spans="6:48">
      <c r="F192" s="18" t="e">
        <f t="shared" ca="1" si="4"/>
        <v>#REF!</v>
      </c>
      <c r="G192" s="18"/>
      <c r="H192" s="19">
        <v>190</v>
      </c>
      <c r="I192" s="18"/>
      <c r="J192" s="18"/>
      <c r="AU192" s="45" t="e">
        <f t="shared" ca="1" si="5"/>
        <v>#REF!</v>
      </c>
      <c r="AV192" s="28"/>
    </row>
    <row r="193" spans="6:48">
      <c r="F193" s="18" t="e">
        <f t="shared" ca="1" si="4"/>
        <v>#REF!</v>
      </c>
      <c r="G193" s="18"/>
      <c r="H193" s="19">
        <v>191</v>
      </c>
      <c r="I193" s="18"/>
      <c r="J193" s="18"/>
      <c r="AU193" s="45" t="e">
        <f t="shared" ca="1" si="5"/>
        <v>#REF!</v>
      </c>
      <c r="AV193" s="28"/>
    </row>
    <row r="194" spans="6:48">
      <c r="F194" s="18" t="e">
        <f t="shared" ca="1" si="4"/>
        <v>#REF!</v>
      </c>
      <c r="G194" s="18"/>
      <c r="H194" s="19">
        <v>192</v>
      </c>
      <c r="I194" s="18"/>
      <c r="J194" s="18"/>
      <c r="AU194" s="45" t="e">
        <f t="shared" ca="1" si="5"/>
        <v>#REF!</v>
      </c>
      <c r="AV194" s="28"/>
    </row>
    <row r="195" spans="6:48">
      <c r="F195" s="18" t="e">
        <f t="shared" ca="1" si="4"/>
        <v>#REF!</v>
      </c>
      <c r="G195" s="18"/>
      <c r="H195" s="19">
        <v>193</v>
      </c>
      <c r="I195" s="18"/>
      <c r="J195" s="18"/>
      <c r="AU195" s="45" t="e">
        <f t="shared" ca="1" si="5"/>
        <v>#REF!</v>
      </c>
      <c r="AV195" s="28"/>
    </row>
    <row r="196" spans="6:48">
      <c r="F196" s="18" t="e">
        <f t="shared" ref="F196:F202" ca="1" si="6">_xlfn.IFNA(IF($H196+1&gt;$G$2,"",INDEX(INDIRECT("SubnetsVLANs!$D$"&amp;$H196+2&amp;":$D$"&amp;$G$2),MATCH("vlan*",INDIRECT("SubnetsVLANs!$E$"&amp;$H196+2&amp;":$E$"&amp;$G$2),0))),"")</f>
        <v>#REF!</v>
      </c>
      <c r="G196" s="18"/>
      <c r="H196" s="19">
        <v>194</v>
      </c>
      <c r="I196" s="18"/>
      <c r="J196" s="18"/>
      <c r="AU196" s="45" t="e">
        <f t="shared" ref="AU196:AU201" ca="1" si="7">_xlfn.IFNA(IF($H196+1&gt;$G$2,"",INDEX(INDIRECT("SubnetsVLANs!$D$"&amp;$H196+2&amp;":$D$"&amp;$G$2),MATCH("Subnet*",INDIRECT("SubnetsVLANs!$E$"&amp;$H196+2&amp;":$E$"&amp;$G$2),0))),"")</f>
        <v>#REF!</v>
      </c>
      <c r="AV196" s="28"/>
    </row>
    <row r="197" spans="6:48">
      <c r="F197" s="18" t="e">
        <f t="shared" ca="1" si="6"/>
        <v>#REF!</v>
      </c>
      <c r="G197" s="18"/>
      <c r="H197" s="19">
        <v>195</v>
      </c>
      <c r="I197" s="18"/>
      <c r="J197" s="18"/>
      <c r="AU197" s="45" t="e">
        <f t="shared" ca="1" si="7"/>
        <v>#REF!</v>
      </c>
      <c r="AV197" s="28"/>
    </row>
    <row r="198" spans="6:48">
      <c r="F198" s="18" t="e">
        <f t="shared" ca="1" si="6"/>
        <v>#REF!</v>
      </c>
      <c r="G198" s="18"/>
      <c r="H198" s="19">
        <v>196</v>
      </c>
      <c r="I198" s="18"/>
      <c r="J198" s="18"/>
      <c r="AU198" s="45" t="e">
        <f t="shared" ca="1" si="7"/>
        <v>#REF!</v>
      </c>
      <c r="AV198" s="28"/>
    </row>
    <row r="199" spans="6:48">
      <c r="F199" s="18" t="e">
        <f t="shared" ca="1" si="6"/>
        <v>#REF!</v>
      </c>
      <c r="G199" s="18"/>
      <c r="H199" s="19">
        <v>197</v>
      </c>
      <c r="I199" s="18"/>
      <c r="J199" s="18"/>
      <c r="AU199" s="45" t="e">
        <f t="shared" ca="1" si="7"/>
        <v>#REF!</v>
      </c>
      <c r="AV199" s="28"/>
    </row>
    <row r="200" spans="6:48">
      <c r="F200" s="18" t="e">
        <f t="shared" ca="1" si="6"/>
        <v>#REF!</v>
      </c>
      <c r="G200" s="18"/>
      <c r="H200" s="19">
        <v>198</v>
      </c>
      <c r="I200" s="18"/>
      <c r="J200" s="18"/>
      <c r="AU200" s="45" t="e">
        <f t="shared" ca="1" si="7"/>
        <v>#REF!</v>
      </c>
      <c r="AV200" s="28"/>
    </row>
    <row r="201" spans="6:48">
      <c r="F201" s="18" t="e">
        <f t="shared" ca="1" si="6"/>
        <v>#REF!</v>
      </c>
      <c r="G201" s="18"/>
      <c r="H201" s="19">
        <v>199</v>
      </c>
      <c r="I201" s="18"/>
      <c r="J201" s="18"/>
      <c r="AU201" s="45" t="e">
        <f t="shared" ca="1" si="7"/>
        <v>#REF!</v>
      </c>
      <c r="AV201" s="28"/>
    </row>
    <row r="202" spans="6:48">
      <c r="F202" s="18" t="e">
        <f t="shared" ca="1" si="6"/>
        <v>#REF!</v>
      </c>
      <c r="G202" s="18"/>
      <c r="H202" s="19">
        <v>200</v>
      </c>
      <c r="I202" s="18"/>
      <c r="J202" s="18"/>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51"/>
  <sheetViews>
    <sheetView showFormulas="1" workbookViewId="0"/>
  </sheetViews>
  <sheetFormatPr baseColWidth="10" defaultColWidth="8.5" defaultRowHeight="15"/>
  <cols>
    <col min="1" max="1" width="10.1640625" style="34" bestFit="1" customWidth="1"/>
    <col min="2" max="2" width="24" style="34" customWidth="1"/>
    <col min="3" max="4" width="20.1640625" style="18" customWidth="1"/>
  </cols>
  <sheetData>
    <row r="1" spans="1:4" ht="32">
      <c r="A1" s="26" t="s">
        <v>116</v>
      </c>
      <c r="B1" s="26" t="s">
        <v>170</v>
      </c>
      <c r="C1" s="26" t="s">
        <v>368</v>
      </c>
      <c r="D1" s="26" t="s">
        <v>372</v>
      </c>
    </row>
    <row r="2" spans="1:4">
      <c r="A2" s="28"/>
      <c r="B2" s="28" t="s">
        <v>109</v>
      </c>
      <c r="C2" s="18" t="e">
        <f>MATCH("&lt;END&gt;",#REF!,0)</f>
        <v>#REF!</v>
      </c>
      <c r="D2" s="18" t="e" cm="1">
        <f t="array" aca="1" ref="D2" ca="1">_xlfn.UNIQUE(INDIRECT("B2:B"&amp;$C$2),FALSE,FALSE)</f>
        <v>#REF!</v>
      </c>
    </row>
    <row r="3" spans="1:4">
      <c r="A3" s="28">
        <v>3</v>
      </c>
      <c r="B3" s="28" t="e" cm="1">
        <f t="array" aca="1" ref="B3" ca="1">IF(COUNTIF(INDIRECT(ADDRESS(3,1,1,1,"Compartments")&amp;":"&amp;ADDRESS(A3,4,4,1)),"*END*")&gt;0,"",IF(OR(INDIRECT(ADDRESS(A3,4,4,1,"Compartments"))="root",INDIRECT(ADDRESS(A3,4,4,1,"Compartments"))=""),INDIRECT(ADDRESS(A3,2,4,1,"Compartments")),INDIRECT(ADDRESS(A3,4,4,1,"Compartments"))&amp;"::"&amp;INDIRECT(ADDRESS(A3,2,4,1,"Compartments"))))</f>
        <v>#REF!</v>
      </c>
      <c r="C3" s="18">
        <f ca="1">COUNTIF($D$2:$D$100,"*")</f>
        <v>0</v>
      </c>
    </row>
    <row r="4" spans="1:4">
      <c r="A4" s="28">
        <v>4</v>
      </c>
      <c r="B4" s="28" t="e" cm="1">
        <f t="array" aca="1" ref="B4" ca="1">IF(COUNTIF(INDIRECT(ADDRESS(3,1,1,1,"Compartments")&amp;":"&amp;ADDRESS(A4,4,4,1)),"*END*")&gt;0,"",IF(OR(INDIRECT(ADDRESS(A4,4,4,1,"Compartments"))="root",INDIRECT(ADDRESS(A4,4,4,1,"Compartments"))=""),INDIRECT(ADDRESS(A4,2,4,1,"Compartments")),INDIRECT(ADDRESS(A4,4,4,1,"Compartments"))&amp;"::"&amp;INDIRECT(ADDRESS(A4,2,4,1,"Compartments"))))</f>
        <v>#REF!</v>
      </c>
    </row>
    <row r="5" spans="1:4">
      <c r="A5" s="28">
        <v>5</v>
      </c>
      <c r="B5" s="28" t="e" cm="1">
        <f t="array" aca="1" ref="B5" ca="1">IF(COUNTIF(INDIRECT(ADDRESS(3,1,1,1,"Compartments")&amp;":"&amp;ADDRESS(A5,4,4,1)),"*END*")&gt;0,"",IF(OR(INDIRECT(ADDRESS(A5,4,4,1,"Compartments"))="root",INDIRECT(ADDRESS(A5,4,4,1,"Compartments"))=""),INDIRECT(ADDRESS(A5,2,4,1,"Compartments")),INDIRECT(ADDRESS(A5,4,4,1,"Compartments"))&amp;"::"&amp;INDIRECT(ADDRESS(A5,2,4,1,"Compartments"))))</f>
        <v>#REF!</v>
      </c>
    </row>
    <row r="6" spans="1:4">
      <c r="A6" s="28">
        <v>6</v>
      </c>
      <c r="B6" s="28" t="e" cm="1">
        <f t="array" aca="1" ref="B6" ca="1">IF(COUNTIF(INDIRECT(ADDRESS(3,1,1,1,"Compartments")&amp;":"&amp;ADDRESS(A6,4,4,1)),"*END*")&gt;0,"",IF(OR(INDIRECT(ADDRESS(A6,4,4,1,"Compartments"))="root",INDIRECT(ADDRESS(A6,4,4,1,"Compartments"))=""),INDIRECT(ADDRESS(A6,2,4,1,"Compartments")),INDIRECT(ADDRESS(A6,4,4,1,"Compartments"))&amp;"::"&amp;INDIRECT(ADDRESS(A6,2,4,1,"Compartments"))))</f>
        <v>#REF!</v>
      </c>
    </row>
    <row r="7" spans="1:4">
      <c r="A7" s="28">
        <v>7</v>
      </c>
      <c r="B7" s="28" t="e" cm="1">
        <f t="array" aca="1" ref="B7" ca="1">IF(COUNTIF(INDIRECT(ADDRESS(3,1,1,1,"Compartments")&amp;":"&amp;ADDRESS(A7,4,4,1)),"*END*")&gt;0,"",IF(OR(INDIRECT(ADDRESS(A7,4,4,1,"Compartments"))="root",INDIRECT(ADDRESS(A7,4,4,1,"Compartments"))=""),INDIRECT(ADDRESS(A7,2,4,1,"Compartments")),INDIRECT(ADDRESS(A7,4,4,1,"Compartments"))&amp;"::"&amp;INDIRECT(ADDRESS(A7,2,4,1,"Compartments"))))</f>
        <v>#REF!</v>
      </c>
    </row>
    <row r="8" spans="1:4">
      <c r="A8" s="28">
        <v>8</v>
      </c>
      <c r="B8" s="28" t="e" cm="1">
        <f t="array" aca="1" ref="B8" ca="1">IF(COUNTIF(INDIRECT(ADDRESS(3,1,1,1,"Compartments")&amp;":"&amp;ADDRESS(A8,4,4,1)),"*END*")&gt;0,"",IF(OR(INDIRECT(ADDRESS(A8,4,4,1,"Compartments"))="root",INDIRECT(ADDRESS(A8,4,4,1,"Compartments"))=""),INDIRECT(ADDRESS(A8,2,4,1,"Compartments")),INDIRECT(ADDRESS(A8,4,4,1,"Compartments"))&amp;"::"&amp;INDIRECT(ADDRESS(A8,2,4,1,"Compartments"))))</f>
        <v>#REF!</v>
      </c>
    </row>
    <row r="9" spans="1:4">
      <c r="A9" s="28">
        <v>9</v>
      </c>
      <c r="B9" s="28" t="e" cm="1">
        <f t="array" aca="1" ref="B9" ca="1">IF(COUNTIF(INDIRECT(ADDRESS(3,1,1,1,"Compartments")&amp;":"&amp;ADDRESS(A9,4,4,1)),"*END*")&gt;0,"",IF(OR(INDIRECT(ADDRESS(A9,4,4,1,"Compartments"))="root",INDIRECT(ADDRESS(A9,4,4,1,"Compartments"))=""),INDIRECT(ADDRESS(A9,2,4,1,"Compartments")),INDIRECT(ADDRESS(A9,4,4,1,"Compartments"))&amp;"::"&amp;INDIRECT(ADDRESS(A9,2,4,1,"Compartments"))))</f>
        <v>#REF!</v>
      </c>
    </row>
    <row r="10" spans="1:4">
      <c r="A10" s="28">
        <v>10</v>
      </c>
      <c r="B10" s="28" t="e" cm="1">
        <f t="array" aca="1" ref="B10" ca="1">IF(COUNTIF(INDIRECT(ADDRESS(3,1,1,1,"Compartments")&amp;":"&amp;ADDRESS(A10,4,4,1)),"*END*")&gt;0,"",IF(OR(INDIRECT(ADDRESS(A10,4,4,1,"Compartments"))="root",INDIRECT(ADDRESS(A10,4,4,1,"Compartments"))=""),INDIRECT(ADDRESS(A10,2,4,1,"Compartments")),INDIRECT(ADDRESS(A10,4,4,1,"Compartments"))&amp;"::"&amp;INDIRECT(ADDRESS(A10,2,4,1,"Compartments"))))</f>
        <v>#REF!</v>
      </c>
    </row>
    <row r="11" spans="1:4">
      <c r="A11" s="28">
        <v>11</v>
      </c>
      <c r="B11" s="28" t="e" cm="1">
        <f t="array" aca="1" ref="B11" ca="1">IF(COUNTIF(INDIRECT(ADDRESS(3,1,1,1,"Compartments")&amp;":"&amp;ADDRESS(A11,4,4,1)),"*END*")&gt;0,"",IF(OR(INDIRECT(ADDRESS(A11,4,4,1,"Compartments"))="root",INDIRECT(ADDRESS(A11,4,4,1,"Compartments"))=""),INDIRECT(ADDRESS(A11,2,4,1,"Compartments")),INDIRECT(ADDRESS(A11,4,4,1,"Compartments"))&amp;"::"&amp;INDIRECT(ADDRESS(A11,2,4,1,"Compartments"))))</f>
        <v>#REF!</v>
      </c>
    </row>
    <row r="12" spans="1:4">
      <c r="A12" s="28">
        <v>12</v>
      </c>
      <c r="B12" s="28" t="e" cm="1">
        <f t="array" aca="1" ref="B12" ca="1">IF(COUNTIF(INDIRECT(ADDRESS(3,1,1,1,"Compartments")&amp;":"&amp;ADDRESS(A12,4,4,1)),"*END*")&gt;0,"",IF(OR(INDIRECT(ADDRESS(A12,4,4,1,"Compartments"))="root",INDIRECT(ADDRESS(A12,4,4,1,"Compartments"))=""),INDIRECT(ADDRESS(A12,2,4,1,"Compartments")),INDIRECT(ADDRESS(A12,4,4,1,"Compartments"))&amp;"::"&amp;INDIRECT(ADDRESS(A12,2,4,1,"Compartments"))))</f>
        <v>#REF!</v>
      </c>
    </row>
    <row r="13" spans="1:4">
      <c r="A13" s="28">
        <v>13</v>
      </c>
      <c r="B13" s="28" t="e" cm="1">
        <f t="array" aca="1" ref="B13" ca="1">IF(COUNTIF(INDIRECT(ADDRESS(3,1,1,1,"Compartments")&amp;":"&amp;ADDRESS(A13,4,4,1)),"*END*")&gt;0,"",IF(OR(INDIRECT(ADDRESS(A13,4,4,1,"Compartments"))="root",INDIRECT(ADDRESS(A13,4,4,1,"Compartments"))=""),INDIRECT(ADDRESS(A13,2,4,1,"Compartments")),INDIRECT(ADDRESS(A13,4,4,1,"Compartments"))&amp;"::"&amp;INDIRECT(ADDRESS(A13,2,4,1,"Compartments"))))</f>
        <v>#REF!</v>
      </c>
    </row>
    <row r="14" spans="1:4">
      <c r="A14" s="28">
        <v>14</v>
      </c>
      <c r="B14" s="28" t="e" cm="1">
        <f t="array" aca="1" ref="B14" ca="1">IF(COUNTIF(INDIRECT(ADDRESS(3,1,1,1,"Compartments")&amp;":"&amp;ADDRESS(A14,4,4,1)),"*END*")&gt;0,"",IF(OR(INDIRECT(ADDRESS(A14,4,4,1,"Compartments"))="root",INDIRECT(ADDRESS(A14,4,4,1,"Compartments"))=""),INDIRECT(ADDRESS(A14,2,4,1,"Compartments")),INDIRECT(ADDRESS(A14,4,4,1,"Compartments"))&amp;"::"&amp;INDIRECT(ADDRESS(A14,2,4,1,"Compartments"))))</f>
        <v>#REF!</v>
      </c>
    </row>
    <row r="15" spans="1:4">
      <c r="A15" s="28">
        <v>15</v>
      </c>
      <c r="B15" s="28" t="e" cm="1">
        <f t="array" aca="1" ref="B15" ca="1">IF(COUNTIF(INDIRECT(ADDRESS(3,1,1,1,"Compartments")&amp;":"&amp;ADDRESS(A15,4,4,1)),"*END*")&gt;0,"",IF(OR(INDIRECT(ADDRESS(A15,4,4,1,"Compartments"))="root",INDIRECT(ADDRESS(A15,4,4,1,"Compartments"))=""),INDIRECT(ADDRESS(A15,2,4,1,"Compartments")),INDIRECT(ADDRESS(A15,4,4,1,"Compartments"))&amp;"::"&amp;INDIRECT(ADDRESS(A15,2,4,1,"Compartments"))))</f>
        <v>#REF!</v>
      </c>
    </row>
    <row r="16" spans="1:4">
      <c r="A16" s="28">
        <v>16</v>
      </c>
      <c r="B16" s="28" t="e" cm="1">
        <f t="array" aca="1" ref="B16" ca="1">IF(COUNTIF(INDIRECT(ADDRESS(3,1,1,1,"Compartments")&amp;":"&amp;ADDRESS(A16,4,4,1)),"*END*")&gt;0,"",IF(OR(INDIRECT(ADDRESS(A16,4,4,1,"Compartments"))="root",INDIRECT(ADDRESS(A16,4,4,1,"Compartments"))=""),INDIRECT(ADDRESS(A16,2,4,1,"Compartments")),INDIRECT(ADDRESS(A16,4,4,1,"Compartments"))&amp;"::"&amp;INDIRECT(ADDRESS(A16,2,4,1,"Compartments"))))</f>
        <v>#REF!</v>
      </c>
    </row>
    <row r="17" spans="1:2">
      <c r="A17" s="28">
        <v>17</v>
      </c>
      <c r="B17" s="28" t="e" cm="1">
        <f t="array" aca="1" ref="B17" ca="1">IF(COUNTIF(INDIRECT(ADDRESS(3,1,1,1,"Compartments")&amp;":"&amp;ADDRESS(A17,4,4,1)),"*END*")&gt;0,"",IF(OR(INDIRECT(ADDRESS(A17,4,4,1,"Compartments"))="root",INDIRECT(ADDRESS(A17,4,4,1,"Compartments"))=""),INDIRECT(ADDRESS(A17,2,4,1,"Compartments")),INDIRECT(ADDRESS(A17,4,4,1,"Compartments"))&amp;"::"&amp;INDIRECT(ADDRESS(A17,2,4,1,"Compartments"))))</f>
        <v>#REF!</v>
      </c>
    </row>
    <row r="18" spans="1:2">
      <c r="A18" s="28">
        <v>18</v>
      </c>
      <c r="B18" s="28" t="e" cm="1">
        <f t="array" aca="1" ref="B18" ca="1">IF(COUNTIF(INDIRECT(ADDRESS(3,1,1,1,"Compartments")&amp;":"&amp;ADDRESS(A18,4,4,1)),"*END*")&gt;0,"",IF(OR(INDIRECT(ADDRESS(A18,4,4,1,"Compartments"))="root",INDIRECT(ADDRESS(A18,4,4,1,"Compartments"))=""),INDIRECT(ADDRESS(A18,2,4,1,"Compartments")),INDIRECT(ADDRESS(A18,4,4,1,"Compartments"))&amp;"::"&amp;INDIRECT(ADDRESS(A18,2,4,1,"Compartments"))))</f>
        <v>#REF!</v>
      </c>
    </row>
    <row r="19" spans="1:2">
      <c r="A19" s="28">
        <v>19</v>
      </c>
      <c r="B19" s="28" t="e" cm="1">
        <f t="array" aca="1" ref="B19" ca="1">IF(COUNTIF(INDIRECT(ADDRESS(3,1,1,1,"Compartments")&amp;":"&amp;ADDRESS(A19,4,4,1)),"*END*")&gt;0,"",IF(OR(INDIRECT(ADDRESS(A19,4,4,1,"Compartments"))="root",INDIRECT(ADDRESS(A19,4,4,1,"Compartments"))=""),INDIRECT(ADDRESS(A19,2,4,1,"Compartments")),INDIRECT(ADDRESS(A19,4,4,1,"Compartments"))&amp;"::"&amp;INDIRECT(ADDRESS(A19,2,4,1,"Compartments"))))</f>
        <v>#REF!</v>
      </c>
    </row>
    <row r="20" spans="1:2">
      <c r="A20" s="28">
        <v>20</v>
      </c>
      <c r="B20" s="28" t="e" cm="1">
        <f t="array" aca="1" ref="B20" ca="1">IF(COUNTIF(INDIRECT(ADDRESS(3,1,1,1,"Compartments")&amp;":"&amp;ADDRESS(A20,4,4,1)),"*END*")&gt;0,"",IF(OR(INDIRECT(ADDRESS(A20,4,4,1,"Compartments"))="root",INDIRECT(ADDRESS(A20,4,4,1,"Compartments"))=""),INDIRECT(ADDRESS(A20,2,4,1,"Compartments")),INDIRECT(ADDRESS(A20,4,4,1,"Compartments"))&amp;"::"&amp;INDIRECT(ADDRESS(A20,2,4,1,"Compartments"))))</f>
        <v>#REF!</v>
      </c>
    </row>
    <row r="21" spans="1:2">
      <c r="A21" s="28">
        <v>21</v>
      </c>
      <c r="B21" s="28" t="e" cm="1">
        <f t="array" aca="1" ref="B21" ca="1">IF(COUNTIF(INDIRECT(ADDRESS(3,1,1,1,"Compartments")&amp;":"&amp;ADDRESS(A21,4,4,1)),"*END*")&gt;0,"",IF(OR(INDIRECT(ADDRESS(A21,4,4,1,"Compartments"))="root",INDIRECT(ADDRESS(A21,4,4,1,"Compartments"))=""),INDIRECT(ADDRESS(A21,2,4,1,"Compartments")),INDIRECT(ADDRESS(A21,4,4,1,"Compartments"))&amp;"::"&amp;INDIRECT(ADDRESS(A21,2,4,1,"Compartments"))))</f>
        <v>#REF!</v>
      </c>
    </row>
    <row r="22" spans="1:2">
      <c r="A22" s="28">
        <v>22</v>
      </c>
      <c r="B22" s="28" t="e" cm="1">
        <f t="array" aca="1" ref="B22" ca="1">IF(COUNTIF(INDIRECT(ADDRESS(3,1,1,1,"Compartments")&amp;":"&amp;ADDRESS(A22,4,4,1)),"*END*")&gt;0,"",IF(OR(INDIRECT(ADDRESS(A22,4,4,1,"Compartments"))="root",INDIRECT(ADDRESS(A22,4,4,1,"Compartments"))=""),INDIRECT(ADDRESS(A22,2,4,1,"Compartments")),INDIRECT(ADDRESS(A22,4,4,1,"Compartments"))&amp;"::"&amp;INDIRECT(ADDRESS(A22,2,4,1,"Compartments"))))</f>
        <v>#REF!</v>
      </c>
    </row>
    <row r="23" spans="1:2">
      <c r="A23" s="28">
        <v>23</v>
      </c>
      <c r="B23" s="28" t="e" cm="1">
        <f t="array" aca="1" ref="B23" ca="1">IF(COUNTIF(INDIRECT(ADDRESS(3,1,1,1,"Compartments")&amp;":"&amp;ADDRESS(A23,4,4,1)),"*END*")&gt;0,"",IF(OR(INDIRECT(ADDRESS(A23,4,4,1,"Compartments"))="root",INDIRECT(ADDRESS(A23,4,4,1,"Compartments"))=""),INDIRECT(ADDRESS(A23,2,4,1,"Compartments")),INDIRECT(ADDRESS(A23,4,4,1,"Compartments"))&amp;"::"&amp;INDIRECT(ADDRESS(A23,2,4,1,"Compartments"))))</f>
        <v>#REF!</v>
      </c>
    </row>
    <row r="24" spans="1:2">
      <c r="A24" s="28">
        <v>24</v>
      </c>
      <c r="B24" s="28" t="e" cm="1">
        <f t="array" aca="1" ref="B24" ca="1">IF(COUNTIF(INDIRECT(ADDRESS(3,1,1,1,"Compartments")&amp;":"&amp;ADDRESS(A24,4,4,1)),"*END*")&gt;0,"",IF(OR(INDIRECT(ADDRESS(A24,4,4,1,"Compartments"))="root",INDIRECT(ADDRESS(A24,4,4,1,"Compartments"))=""),INDIRECT(ADDRESS(A24,2,4,1,"Compartments")),INDIRECT(ADDRESS(A24,4,4,1,"Compartments"))&amp;"::"&amp;INDIRECT(ADDRESS(A24,2,4,1,"Compartments"))))</f>
        <v>#REF!</v>
      </c>
    </row>
    <row r="25" spans="1:2">
      <c r="A25" s="28">
        <v>25</v>
      </c>
      <c r="B25" s="28" t="e" cm="1">
        <f t="array" aca="1" ref="B25" ca="1">IF(COUNTIF(INDIRECT(ADDRESS(3,1,1,1,"Compartments")&amp;":"&amp;ADDRESS(A25,4,4,1)),"*END*")&gt;0,"",IF(OR(INDIRECT(ADDRESS(A25,4,4,1,"Compartments"))="root",INDIRECT(ADDRESS(A25,4,4,1,"Compartments"))=""),INDIRECT(ADDRESS(A25,2,4,1,"Compartments")),INDIRECT(ADDRESS(A25,4,4,1,"Compartments"))&amp;"::"&amp;INDIRECT(ADDRESS(A25,2,4,1,"Compartments"))))</f>
        <v>#REF!</v>
      </c>
    </row>
    <row r="26" spans="1:2">
      <c r="A26" s="28">
        <v>26</v>
      </c>
      <c r="B26" s="28" t="e" cm="1">
        <f t="array" aca="1" ref="B26" ca="1">IF(COUNTIF(INDIRECT(ADDRESS(3,1,1,1,"Compartments")&amp;":"&amp;ADDRESS(A26,4,4,1)),"*END*")&gt;0,"",IF(OR(INDIRECT(ADDRESS(A26,4,4,1,"Compartments"))="root",INDIRECT(ADDRESS(A26,4,4,1,"Compartments"))=""),INDIRECT(ADDRESS(A26,2,4,1,"Compartments")),INDIRECT(ADDRESS(A26,4,4,1,"Compartments"))&amp;"::"&amp;INDIRECT(ADDRESS(A26,2,4,1,"Compartments"))))</f>
        <v>#REF!</v>
      </c>
    </row>
    <row r="27" spans="1:2">
      <c r="A27" s="28">
        <v>27</v>
      </c>
      <c r="B27" s="28" t="e" cm="1">
        <f t="array" aca="1" ref="B27" ca="1">IF(COUNTIF(INDIRECT(ADDRESS(3,1,1,1,"Compartments")&amp;":"&amp;ADDRESS(A27,4,4,1)),"*END*")&gt;0,"",IF(OR(INDIRECT(ADDRESS(A27,4,4,1,"Compartments"))="root",INDIRECT(ADDRESS(A27,4,4,1,"Compartments"))=""),INDIRECT(ADDRESS(A27,2,4,1,"Compartments")),INDIRECT(ADDRESS(A27,4,4,1,"Compartments"))&amp;"::"&amp;INDIRECT(ADDRESS(A27,2,4,1,"Compartments"))))</f>
        <v>#REF!</v>
      </c>
    </row>
    <row r="28" spans="1:2">
      <c r="A28" s="28">
        <v>28</v>
      </c>
      <c r="B28" s="28" t="e" cm="1">
        <f t="array" aca="1" ref="B28" ca="1">IF(COUNTIF(INDIRECT(ADDRESS(3,1,1,1,"Compartments")&amp;":"&amp;ADDRESS(A28,4,4,1)),"*END*")&gt;0,"",IF(OR(INDIRECT(ADDRESS(A28,4,4,1,"Compartments"))="root",INDIRECT(ADDRESS(A28,4,4,1,"Compartments"))=""),INDIRECT(ADDRESS(A28,2,4,1,"Compartments")),INDIRECT(ADDRESS(A28,4,4,1,"Compartments"))&amp;"::"&amp;INDIRECT(ADDRESS(A28,2,4,1,"Compartments"))))</f>
        <v>#REF!</v>
      </c>
    </row>
    <row r="29" spans="1:2">
      <c r="A29" s="28">
        <v>29</v>
      </c>
      <c r="B29" s="28" t="e" cm="1">
        <f t="array" aca="1" ref="B29" ca="1">IF(COUNTIF(INDIRECT(ADDRESS(3,1,1,1,"Compartments")&amp;":"&amp;ADDRESS(A29,4,4,1)),"*END*")&gt;0,"",IF(OR(INDIRECT(ADDRESS(A29,4,4,1,"Compartments"))="root",INDIRECT(ADDRESS(A29,4,4,1,"Compartments"))=""),INDIRECT(ADDRESS(A29,2,4,1,"Compartments")),INDIRECT(ADDRESS(A29,4,4,1,"Compartments"))&amp;"::"&amp;INDIRECT(ADDRESS(A29,2,4,1,"Compartments"))))</f>
        <v>#REF!</v>
      </c>
    </row>
    <row r="30" spans="1:2">
      <c r="A30" s="28">
        <v>30</v>
      </c>
      <c r="B30" s="28" t="e" cm="1">
        <f t="array" aca="1" ref="B30" ca="1">IF(COUNTIF(INDIRECT(ADDRESS(3,1,1,1,"Compartments")&amp;":"&amp;ADDRESS(A30,4,4,1)),"*END*")&gt;0,"",IF(OR(INDIRECT(ADDRESS(A30,4,4,1,"Compartments"))="root",INDIRECT(ADDRESS(A30,4,4,1,"Compartments"))=""),INDIRECT(ADDRESS(A30,2,4,1,"Compartments")),INDIRECT(ADDRESS(A30,4,4,1,"Compartments"))&amp;"::"&amp;INDIRECT(ADDRESS(A30,2,4,1,"Compartments"))))</f>
        <v>#REF!</v>
      </c>
    </row>
    <row r="31" spans="1:2">
      <c r="A31" s="28">
        <v>31</v>
      </c>
      <c r="B31" s="28" t="e" cm="1">
        <f t="array" aca="1" ref="B31" ca="1">IF(COUNTIF(INDIRECT(ADDRESS(3,1,1,1,"Compartments")&amp;":"&amp;ADDRESS(A31,4,4,1)),"*END*")&gt;0,"",IF(OR(INDIRECT(ADDRESS(A31,4,4,1,"Compartments"))="root",INDIRECT(ADDRESS(A31,4,4,1,"Compartments"))=""),INDIRECT(ADDRESS(A31,2,4,1,"Compartments")),INDIRECT(ADDRESS(A31,4,4,1,"Compartments"))&amp;"::"&amp;INDIRECT(ADDRESS(A31,2,4,1,"Compartments"))))</f>
        <v>#REF!</v>
      </c>
    </row>
    <row r="32" spans="1:2">
      <c r="A32" s="28">
        <v>32</v>
      </c>
      <c r="B32" s="28" t="e" cm="1">
        <f t="array" aca="1" ref="B32" ca="1">IF(COUNTIF(INDIRECT(ADDRESS(3,1,1,1,"Compartments")&amp;":"&amp;ADDRESS(A32,4,4,1)),"*END*")&gt;0,"",IF(OR(INDIRECT(ADDRESS(A32,4,4,1,"Compartments"))="root",INDIRECT(ADDRESS(A32,4,4,1,"Compartments"))=""),INDIRECT(ADDRESS(A32,2,4,1,"Compartments")),INDIRECT(ADDRESS(A32,4,4,1,"Compartments"))&amp;"::"&amp;INDIRECT(ADDRESS(A32,2,4,1,"Compartments"))))</f>
        <v>#REF!</v>
      </c>
    </row>
    <row r="33" spans="1:2">
      <c r="A33" s="28">
        <v>33</v>
      </c>
      <c r="B33" s="28" t="e" cm="1">
        <f t="array" aca="1" ref="B33" ca="1">IF(COUNTIF(INDIRECT(ADDRESS(3,1,1,1,"Compartments")&amp;":"&amp;ADDRESS(A33,4,4,1)),"*END*")&gt;0,"",IF(OR(INDIRECT(ADDRESS(A33,4,4,1,"Compartments"))="root",INDIRECT(ADDRESS(A33,4,4,1,"Compartments"))=""),INDIRECT(ADDRESS(A33,2,4,1,"Compartments")),INDIRECT(ADDRESS(A33,4,4,1,"Compartments"))&amp;"::"&amp;INDIRECT(ADDRESS(A33,2,4,1,"Compartments"))))</f>
        <v>#REF!</v>
      </c>
    </row>
    <row r="34" spans="1:2">
      <c r="A34" s="28">
        <v>34</v>
      </c>
      <c r="B34" s="28" t="e" cm="1">
        <f t="array" aca="1" ref="B34" ca="1">IF(COUNTIF(INDIRECT(ADDRESS(3,1,1,1,"Compartments")&amp;":"&amp;ADDRESS(A34,4,4,1)),"*END*")&gt;0,"",IF(OR(INDIRECT(ADDRESS(A34,4,4,1,"Compartments"))="root",INDIRECT(ADDRESS(A34,4,4,1,"Compartments"))=""),INDIRECT(ADDRESS(A34,2,4,1,"Compartments")),INDIRECT(ADDRESS(A34,4,4,1,"Compartments"))&amp;"::"&amp;INDIRECT(ADDRESS(A34,2,4,1,"Compartments"))))</f>
        <v>#REF!</v>
      </c>
    </row>
    <row r="35" spans="1:2">
      <c r="A35" s="28">
        <v>35</v>
      </c>
      <c r="B35" s="28" t="e" cm="1">
        <f t="array" aca="1" ref="B35" ca="1">IF(COUNTIF(INDIRECT(ADDRESS(3,1,1,1,"Compartments")&amp;":"&amp;ADDRESS(A35,4,4,1)),"*END*")&gt;0,"",IF(OR(INDIRECT(ADDRESS(A35,4,4,1,"Compartments"))="root",INDIRECT(ADDRESS(A35,4,4,1,"Compartments"))=""),INDIRECT(ADDRESS(A35,2,4,1,"Compartments")),INDIRECT(ADDRESS(A35,4,4,1,"Compartments"))&amp;"::"&amp;INDIRECT(ADDRESS(A35,2,4,1,"Compartments"))))</f>
        <v>#REF!</v>
      </c>
    </row>
    <row r="36" spans="1:2">
      <c r="A36" s="28">
        <v>36</v>
      </c>
      <c r="B36" s="28" t="e" cm="1">
        <f t="array" aca="1" ref="B36" ca="1">IF(COUNTIF(INDIRECT(ADDRESS(3,1,1,1,"Compartments")&amp;":"&amp;ADDRESS(A36,4,4,1)),"*END*")&gt;0,"",IF(OR(INDIRECT(ADDRESS(A36,4,4,1,"Compartments"))="root",INDIRECT(ADDRESS(A36,4,4,1,"Compartments"))=""),INDIRECT(ADDRESS(A36,2,4,1,"Compartments")),INDIRECT(ADDRESS(A36,4,4,1,"Compartments"))&amp;"::"&amp;INDIRECT(ADDRESS(A36,2,4,1,"Compartments"))))</f>
        <v>#REF!</v>
      </c>
    </row>
    <row r="37" spans="1:2">
      <c r="A37" s="28">
        <v>37</v>
      </c>
      <c r="B37" s="28" t="e" cm="1">
        <f t="array" aca="1" ref="B37" ca="1">IF(COUNTIF(INDIRECT(ADDRESS(3,1,1,1,"Compartments")&amp;":"&amp;ADDRESS(A37,4,4,1)),"*END*")&gt;0,"",IF(OR(INDIRECT(ADDRESS(A37,4,4,1,"Compartments"))="root",INDIRECT(ADDRESS(A37,4,4,1,"Compartments"))=""),INDIRECT(ADDRESS(A37,2,4,1,"Compartments")),INDIRECT(ADDRESS(A37,4,4,1,"Compartments"))&amp;"::"&amp;INDIRECT(ADDRESS(A37,2,4,1,"Compartments"))))</f>
        <v>#REF!</v>
      </c>
    </row>
    <row r="38" spans="1:2">
      <c r="A38" s="28">
        <v>38</v>
      </c>
      <c r="B38" s="28" t="e" cm="1">
        <f t="array" aca="1" ref="B38" ca="1">IF(COUNTIF(INDIRECT(ADDRESS(3,1,1,1,"Compartments")&amp;":"&amp;ADDRESS(A38,4,4,1)),"*END*")&gt;0,"",IF(OR(INDIRECT(ADDRESS(A38,4,4,1,"Compartments"))="root",INDIRECT(ADDRESS(A38,4,4,1,"Compartments"))=""),INDIRECT(ADDRESS(A38,2,4,1,"Compartments")),INDIRECT(ADDRESS(A38,4,4,1,"Compartments"))&amp;"::"&amp;INDIRECT(ADDRESS(A38,2,4,1,"Compartments"))))</f>
        <v>#REF!</v>
      </c>
    </row>
    <row r="39" spans="1:2">
      <c r="A39" s="28">
        <v>39</v>
      </c>
      <c r="B39" s="28" t="e" cm="1">
        <f t="array" aca="1" ref="B39" ca="1">IF(COUNTIF(INDIRECT(ADDRESS(3,1,1,1,"Compartments")&amp;":"&amp;ADDRESS(A39,4,4,1)),"*END*")&gt;0,"",IF(OR(INDIRECT(ADDRESS(A39,4,4,1,"Compartments"))="root",INDIRECT(ADDRESS(A39,4,4,1,"Compartments"))=""),INDIRECT(ADDRESS(A39,2,4,1,"Compartments")),INDIRECT(ADDRESS(A39,4,4,1,"Compartments"))&amp;"::"&amp;INDIRECT(ADDRESS(A39,2,4,1,"Compartments"))))</f>
        <v>#REF!</v>
      </c>
    </row>
    <row r="40" spans="1:2">
      <c r="A40" s="28">
        <v>40</v>
      </c>
      <c r="B40" s="28" t="e" cm="1">
        <f t="array" aca="1" ref="B40" ca="1">IF(COUNTIF(INDIRECT(ADDRESS(3,1,1,1,"Compartments")&amp;":"&amp;ADDRESS(A40,4,4,1)),"*END*")&gt;0,"",IF(OR(INDIRECT(ADDRESS(A40,4,4,1,"Compartments"))="root",INDIRECT(ADDRESS(A40,4,4,1,"Compartments"))=""),INDIRECT(ADDRESS(A40,2,4,1,"Compartments")),INDIRECT(ADDRESS(A40,4,4,1,"Compartments"))&amp;"::"&amp;INDIRECT(ADDRESS(A40,2,4,1,"Compartments"))))</f>
        <v>#REF!</v>
      </c>
    </row>
    <row r="41" spans="1:2">
      <c r="A41" s="28">
        <v>41</v>
      </c>
      <c r="B41" s="28" t="e" cm="1">
        <f t="array" aca="1" ref="B41" ca="1">IF(COUNTIF(INDIRECT(ADDRESS(3,1,1,1,"Compartments")&amp;":"&amp;ADDRESS(A41,4,4,1)),"*END*")&gt;0,"",IF(OR(INDIRECT(ADDRESS(A41,4,4,1,"Compartments"))="root",INDIRECT(ADDRESS(A41,4,4,1,"Compartments"))=""),INDIRECT(ADDRESS(A41,2,4,1,"Compartments")),INDIRECT(ADDRESS(A41,4,4,1,"Compartments"))&amp;"::"&amp;INDIRECT(ADDRESS(A41,2,4,1,"Compartments"))))</f>
        <v>#REF!</v>
      </c>
    </row>
    <row r="42" spans="1:2">
      <c r="A42" s="28">
        <v>42</v>
      </c>
      <c r="B42" s="28" t="e" cm="1">
        <f t="array" aca="1" ref="B42" ca="1">IF(COUNTIF(INDIRECT(ADDRESS(3,1,1,1,"Compartments")&amp;":"&amp;ADDRESS(A42,4,4,1)),"*END*")&gt;0,"",IF(OR(INDIRECT(ADDRESS(A42,4,4,1,"Compartments"))="root",INDIRECT(ADDRESS(A42,4,4,1,"Compartments"))=""),INDIRECT(ADDRESS(A42,2,4,1,"Compartments")),INDIRECT(ADDRESS(A42,4,4,1,"Compartments"))&amp;"::"&amp;INDIRECT(ADDRESS(A42,2,4,1,"Compartments"))))</f>
        <v>#REF!</v>
      </c>
    </row>
    <row r="43" spans="1:2">
      <c r="A43" s="28">
        <v>43</v>
      </c>
      <c r="B43" s="28" t="e" cm="1">
        <f t="array" aca="1" ref="B43" ca="1">IF(COUNTIF(INDIRECT(ADDRESS(3,1,1,1,"Compartments")&amp;":"&amp;ADDRESS(A43,4,4,1)),"*END*")&gt;0,"",IF(OR(INDIRECT(ADDRESS(A43,4,4,1,"Compartments"))="root",INDIRECT(ADDRESS(A43,4,4,1,"Compartments"))=""),INDIRECT(ADDRESS(A43,2,4,1,"Compartments")),INDIRECT(ADDRESS(A43,4,4,1,"Compartments"))&amp;"::"&amp;INDIRECT(ADDRESS(A43,2,4,1,"Compartments"))))</f>
        <v>#REF!</v>
      </c>
    </row>
    <row r="44" spans="1:2">
      <c r="A44" s="28">
        <v>44</v>
      </c>
      <c r="B44" s="28" t="e" cm="1">
        <f t="array" aca="1" ref="B44" ca="1">IF(COUNTIF(INDIRECT(ADDRESS(3,1,1,1,"Compartments")&amp;":"&amp;ADDRESS(A44,4,4,1)),"*END*")&gt;0,"",IF(OR(INDIRECT(ADDRESS(A44,4,4,1,"Compartments"))="root",INDIRECT(ADDRESS(A44,4,4,1,"Compartments"))=""),INDIRECT(ADDRESS(A44,2,4,1,"Compartments")),INDIRECT(ADDRESS(A44,4,4,1,"Compartments"))&amp;"::"&amp;INDIRECT(ADDRESS(A44,2,4,1,"Compartments"))))</f>
        <v>#REF!</v>
      </c>
    </row>
    <row r="45" spans="1:2">
      <c r="A45" s="28">
        <v>45</v>
      </c>
      <c r="B45" s="28" t="e" cm="1">
        <f t="array" aca="1" ref="B45" ca="1">IF(COUNTIF(INDIRECT(ADDRESS(3,1,1,1,"Compartments")&amp;":"&amp;ADDRESS(A45,4,4,1)),"*END*")&gt;0,"",IF(OR(INDIRECT(ADDRESS(A45,4,4,1,"Compartments"))="root",INDIRECT(ADDRESS(A45,4,4,1,"Compartments"))=""),INDIRECT(ADDRESS(A45,2,4,1,"Compartments")),INDIRECT(ADDRESS(A45,4,4,1,"Compartments"))&amp;"::"&amp;INDIRECT(ADDRESS(A45,2,4,1,"Compartments"))))</f>
        <v>#REF!</v>
      </c>
    </row>
    <row r="46" spans="1:2">
      <c r="A46" s="28">
        <v>46</v>
      </c>
      <c r="B46" s="28" t="e" cm="1">
        <f t="array" aca="1" ref="B46" ca="1">IF(COUNTIF(INDIRECT(ADDRESS(3,1,1,1,"Compartments")&amp;":"&amp;ADDRESS(A46,4,4,1)),"*END*")&gt;0,"",IF(OR(INDIRECT(ADDRESS(A46,4,4,1,"Compartments"))="root",INDIRECT(ADDRESS(A46,4,4,1,"Compartments"))=""),INDIRECT(ADDRESS(A46,2,4,1,"Compartments")),INDIRECT(ADDRESS(A46,4,4,1,"Compartments"))&amp;"::"&amp;INDIRECT(ADDRESS(A46,2,4,1,"Compartments"))))</f>
        <v>#REF!</v>
      </c>
    </row>
    <row r="47" spans="1:2">
      <c r="A47" s="28">
        <v>47</v>
      </c>
      <c r="B47" s="28" t="e" cm="1">
        <f t="array" aca="1" ref="B47" ca="1">IF(COUNTIF(INDIRECT(ADDRESS(3,1,1,1,"Compartments")&amp;":"&amp;ADDRESS(A47,4,4,1)),"*END*")&gt;0,"",IF(OR(INDIRECT(ADDRESS(A47,4,4,1,"Compartments"))="root",INDIRECT(ADDRESS(A47,4,4,1,"Compartments"))=""),INDIRECT(ADDRESS(A47,2,4,1,"Compartments")),INDIRECT(ADDRESS(A47,4,4,1,"Compartments"))&amp;"::"&amp;INDIRECT(ADDRESS(A47,2,4,1,"Compartments"))))</f>
        <v>#REF!</v>
      </c>
    </row>
    <row r="48" spans="1:2">
      <c r="A48" s="28">
        <v>48</v>
      </c>
      <c r="B48" s="28" t="e" cm="1">
        <f t="array" aca="1" ref="B48" ca="1">IF(COUNTIF(INDIRECT(ADDRESS(3,1,1,1,"Compartments")&amp;":"&amp;ADDRESS(A48,4,4,1)),"*END*")&gt;0,"",IF(OR(INDIRECT(ADDRESS(A48,4,4,1,"Compartments"))="root",INDIRECT(ADDRESS(A48,4,4,1,"Compartments"))=""),INDIRECT(ADDRESS(A48,2,4,1,"Compartments")),INDIRECT(ADDRESS(A48,4,4,1,"Compartments"))&amp;"::"&amp;INDIRECT(ADDRESS(A48,2,4,1,"Compartments"))))</f>
        <v>#REF!</v>
      </c>
    </row>
    <row r="49" spans="1:2">
      <c r="A49" s="28">
        <v>49</v>
      </c>
      <c r="B49" s="28" t="e" cm="1">
        <f t="array" aca="1" ref="B49" ca="1">IF(COUNTIF(INDIRECT(ADDRESS(3,1,1,1,"Compartments")&amp;":"&amp;ADDRESS(A49,4,4,1)),"*END*")&gt;0,"",IF(OR(INDIRECT(ADDRESS(A49,4,4,1,"Compartments"))="root",INDIRECT(ADDRESS(A49,4,4,1,"Compartments"))=""),INDIRECT(ADDRESS(A49,2,4,1,"Compartments")),INDIRECT(ADDRESS(A49,4,4,1,"Compartments"))&amp;"::"&amp;INDIRECT(ADDRESS(A49,2,4,1,"Compartments"))))</f>
        <v>#REF!</v>
      </c>
    </row>
    <row r="50" spans="1:2">
      <c r="A50" s="28">
        <v>50</v>
      </c>
      <c r="B50" s="28" t="e" cm="1">
        <f t="array" aca="1" ref="B50" ca="1">IF(COUNTIF(INDIRECT(ADDRESS(3,1,1,1,"Compartments")&amp;":"&amp;ADDRESS(A50,4,4,1)),"*END*")&gt;0,"",IF(OR(INDIRECT(ADDRESS(A50,4,4,1,"Compartments"))="root",INDIRECT(ADDRESS(A50,4,4,1,"Compartments"))=""),INDIRECT(ADDRESS(A50,2,4,1,"Compartments")),INDIRECT(ADDRESS(A50,4,4,1,"Compartments"))&amp;"::"&amp;INDIRECT(ADDRESS(A50,2,4,1,"Compartments"))))</f>
        <v>#REF!</v>
      </c>
    </row>
    <row r="51" spans="1:2">
      <c r="A51" s="28"/>
      <c r="B51" s="28"/>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docMetadata/LabelInfo.xml><?xml version="1.0" encoding="utf-8"?>
<clbl:labelList xmlns:clbl="http://schemas.microsoft.com/office/2020/mipLabelMetadata">
  <clbl:label id="{56665055-977f-4acd-9884-1bec8e5ad200}"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13</vt:i4>
      </vt:variant>
    </vt:vector>
  </HeadingPairs>
  <TitlesOfParts>
    <vt:vector size="22" baseType="lpstr">
      <vt:lpstr>Release-Info</vt:lpstr>
      <vt:lpstr>ADB-Azure</vt:lpstr>
      <vt:lpstr>ADB-GCP</vt:lpstr>
      <vt:lpstr>EXA-Infra-GCP</vt:lpstr>
      <vt:lpstr>EXA-VMClusters-GCP</vt:lpstr>
      <vt:lpstr>Database_Dropdown</vt:lpstr>
      <vt:lpstr>LB Rule Set Dropdown</vt:lpstr>
      <vt:lpstr>drop_down_rule_set</vt:lpstr>
      <vt:lpstr>drop_down_rule_comp</vt:lpstr>
      <vt:lpstr>Database_Dropdown!char_set</vt:lpstr>
      <vt:lpstr>Database_Dropdown!db_sersion_drop</vt:lpstr>
      <vt:lpstr>Database_Dropdown!exa_shapes_drop</vt:lpstr>
      <vt:lpstr>Database_Dropdown!Header_Size</vt:lpstr>
      <vt:lpstr>Header_Size</vt:lpstr>
      <vt:lpstr>Database_Dropdown!license_type_drop</vt:lpstr>
      <vt:lpstr>Database_Dropdown!nchar_set</vt:lpstr>
      <vt:lpstr>Database_Dropdown!Response_Code</vt:lpstr>
      <vt:lpstr>Response_Code</vt:lpstr>
      <vt:lpstr>Database_Dropdown!software_drop</vt:lpstr>
      <vt:lpstr>Database_Dropdown!VM_Shapes</vt:lpstr>
      <vt:lpstr>Database_Dropdown!VM_shapes_drop</vt:lpstr>
      <vt:lpstr>Database_Dropdown!workload_drop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Ulaganathan Namachivayam</cp:lastModifiedBy>
  <dcterms:created xsi:type="dcterms:W3CDTF">2006-09-16T00:00:00Z</dcterms:created>
  <dcterms:modified xsi:type="dcterms:W3CDTF">2026-07-31T05:28:54Z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2025-03-21T15:25:41Z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33e8d50f-9c77-44b5-8e21-33cd7ad77b9a</vt:lpwstr>
  </property>
  <property fmtid="{D5CDD505-2E9C-101B-9397-08002B2CF9AE}" pid="8" name="MSIP_Label_56665055-977f-4acd-9884-1bec8e5ad200_ContentBits">
    <vt:lpwstr>3</vt:lpwstr>
  </property>
  <property fmtid="{D5CDD505-2E9C-101B-9397-08002B2CF9AE}" pid="9" name="MSIP_Label_56665055-977f-4acd-9884-1bec8e5ad200_Tag">
    <vt:lpwstr>50, 3, 0, 1</vt:lpwstr>
  </property>
</Properties>
</file>