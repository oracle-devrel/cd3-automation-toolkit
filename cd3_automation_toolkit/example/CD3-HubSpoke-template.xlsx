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blohumi/Documents/orahub/cd3-automation-toolkit/cd3_automation_toolkit/example/"/>
    </mc:Choice>
  </mc:AlternateContent>
  <xr:revisionPtr revIDLastSave="0" documentId="13_ncr:1_{EEBDECBE-9131-CD41-BD10-9EDB518A524E}" xr6:coauthVersionLast="47" xr6:coauthVersionMax="47" xr10:uidLastSave="{00000000-0000-0000-0000-000000000000}"/>
  <bookViews>
    <workbookView xWindow="0" yWindow="760" windowWidth="28800" windowHeight="17480" tabRatio="1000" activeTab="9"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6" i="32" a="1"/>
  <c r="B17" i="32" a="1"/>
  <c r="B29" i="32" a="1"/>
  <c r="B12" i="32" a="1"/>
  <c r="E7" i="31" a="1"/>
  <c r="B33" i="32" a="1"/>
  <c r="B13" i="32" a="1"/>
  <c r="F9" i="31"/>
  <c r="F12" i="31"/>
  <c r="E5" i="31" a="1"/>
  <c r="F4" i="31"/>
  <c r="B32" i="32" a="1"/>
  <c r="F5" i="31"/>
  <c r="B39" i="32" a="1"/>
  <c r="AU4" i="31"/>
  <c r="B34" i="32" a="1"/>
  <c r="B40" i="32" a="1"/>
  <c r="AU8" i="31"/>
  <c r="B44" i="32" a="1"/>
  <c r="AU6" i="31"/>
  <c r="B45" i="32" a="1"/>
  <c r="B10" i="32" a="1"/>
  <c r="AU5" i="31"/>
  <c r="F7" i="31"/>
  <c r="AU7" i="31"/>
  <c r="B35" i="32" a="1"/>
  <c r="B19" i="32" a="1"/>
  <c r="B14" i="32" a="1"/>
  <c r="B49" i="32" a="1"/>
  <c r="B24" i="32" a="1"/>
  <c r="F10" i="31"/>
  <c r="B16" i="32" a="1"/>
  <c r="B42" i="32" a="1"/>
  <c r="E8" i="31" a="1"/>
  <c r="B5" i="32" a="1"/>
  <c r="B41" i="32" a="1"/>
  <c r="B48" i="32" a="1"/>
  <c r="B20" i="32" a="1"/>
  <c r="E2" i="31" a="1"/>
  <c r="B15" i="32" a="1"/>
  <c r="E6" i="31" a="1"/>
  <c r="B9" i="32" a="1"/>
  <c r="B38" i="32" a="1"/>
  <c r="B22" i="32" a="1"/>
  <c r="B47" i="32" a="1"/>
  <c r="B31" i="32" a="1"/>
  <c r="B25" i="32" a="1"/>
  <c r="B18" i="32" a="1"/>
  <c r="AU2" i="31"/>
  <c r="AU10" i="31"/>
  <c r="E3" i="31" a="1"/>
  <c r="F6" i="31"/>
  <c r="AU9" i="31"/>
  <c r="E11" i="31" a="1"/>
  <c r="AU3" i="31"/>
  <c r="B7" i="32" a="1"/>
  <c r="B11" i="32" a="1"/>
  <c r="F3" i="31"/>
  <c r="E10" i="31" a="1"/>
  <c r="B37" i="32" a="1"/>
  <c r="B26" i="32" a="1"/>
  <c r="E9" i="31" a="1"/>
  <c r="B4" i="32" a="1"/>
  <c r="B46" i="32" a="1"/>
  <c r="B30" i="32" a="1"/>
  <c r="AU12" i="31"/>
  <c r="B43" i="32" a="1"/>
  <c r="E12" i="31" a="1"/>
  <c r="B36" i="32" a="1"/>
  <c r="AU11" i="31"/>
  <c r="B50" i="32" a="1"/>
  <c r="B27" i="32" a="1"/>
  <c r="B8" i="32" a="1"/>
  <c r="B3" i="32" a="1"/>
  <c r="B21" i="32" a="1"/>
  <c r="B23" i="32" a="1"/>
  <c r="E4" i="31" a="1"/>
  <c r="B28" i="32" a="1"/>
  <c r="F2" i="31"/>
  <c r="F11" i="31"/>
  <c r="F8" i="3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Y16" i="31" a="1"/>
  <c r="C6" i="31" a="1"/>
  <c r="Z13" i="31" a="1"/>
  <c r="Z40" i="31" a="1"/>
  <c r="Z32" i="31" a="1"/>
  <c r="B4" i="31" a="1"/>
  <c r="C24" i="31" a="1"/>
  <c r="P12" i="31" a="1"/>
  <c r="B26" i="31" a="1"/>
  <c r="P21" i="31" a="1"/>
  <c r="Z4" i="31" a="1"/>
  <c r="B27" i="31" a="1"/>
  <c r="P45" i="31" a="1"/>
  <c r="C18" i="31" a="1"/>
  <c r="Y28" i="31" a="1"/>
  <c r="Y10" i="31" a="1"/>
  <c r="C50" i="31" a="1"/>
  <c r="Z30" i="31" a="1"/>
  <c r="P39" i="31" a="1"/>
  <c r="B23" i="31" a="1"/>
  <c r="P35" i="31" a="1"/>
  <c r="Z25" i="31" a="1"/>
  <c r="R19" i="31" a="1"/>
  <c r="Y32" i="31" a="1"/>
  <c r="C15" i="31" a="1"/>
  <c r="R17" i="31" a="1"/>
  <c r="B44" i="31" a="1"/>
  <c r="C4" i="31" a="1"/>
  <c r="C37" i="31" a="1"/>
  <c r="P16" i="31" a="1"/>
  <c r="P46" i="31" a="1"/>
  <c r="Y33" i="31" a="1"/>
  <c r="Y14" i="31" a="1"/>
  <c r="R7" i="31" a="1"/>
  <c r="P31" i="31" a="1"/>
  <c r="C26" i="31" a="1"/>
  <c r="B43" i="31" a="1"/>
  <c r="Z18" i="31" a="1"/>
  <c r="Y4" i="31" a="1"/>
  <c r="C33" i="31" a="1"/>
  <c r="C48" i="31" a="1"/>
  <c r="C19" i="31" a="1"/>
  <c r="R31" i="31" a="1"/>
  <c r="B17" i="31" a="1"/>
  <c r="Y24" i="31" a="1"/>
  <c r="R11" i="31" a="1"/>
  <c r="B48" i="31" a="1"/>
  <c r="R20" i="31" a="1"/>
  <c r="Y26" i="31" a="1"/>
  <c r="R35" i="31" a="1"/>
  <c r="Y12" i="31" a="1"/>
  <c r="C47" i="31" a="1"/>
  <c r="C38" i="31" a="1"/>
  <c r="Z45" i="31" a="1"/>
  <c r="Y6" i="31" a="1"/>
  <c r="B8" i="31" a="1"/>
  <c r="Z10" i="31" a="1"/>
  <c r="Z24" i="31" a="1"/>
  <c r="B45" i="31" a="1"/>
  <c r="R26" i="31" a="1"/>
  <c r="P9" i="31" a="1"/>
  <c r="R10" i="31" a="1"/>
  <c r="Z39" i="31" a="1"/>
  <c r="P34" i="31" a="1"/>
  <c r="R47" i="31" a="1"/>
  <c r="R16" i="31" a="1"/>
  <c r="C27" i="31" a="1"/>
  <c r="P2" i="31" a="1"/>
  <c r="R23" i="31" a="1"/>
  <c r="R50" i="31" a="1"/>
  <c r="Z35" i="31" a="1"/>
  <c r="Y2" i="31" a="1"/>
  <c r="B25" i="31" a="1"/>
  <c r="C41" i="31" a="1"/>
  <c r="R14" i="31" a="1"/>
  <c r="Y13" i="31" a="1"/>
  <c r="P20" i="31" a="1"/>
  <c r="Z19" i="31" a="1"/>
  <c r="Y5" i="31" a="1"/>
  <c r="C17" i="31" a="1"/>
  <c r="Y9" i="31" a="1"/>
  <c r="P10" i="31" a="1"/>
  <c r="Y8" i="31" a="1"/>
  <c r="Y31" i="31" a="1"/>
  <c r="B34" i="31" a="1"/>
  <c r="B37" i="31" a="1"/>
  <c r="B3" i="31" a="1"/>
  <c r="C34" i="31" a="1"/>
  <c r="R3" i="31" a="1"/>
  <c r="C44" i="31" a="1"/>
  <c r="P41" i="31" a="1"/>
  <c r="B49" i="31" a="1"/>
  <c r="B15" i="31" a="1"/>
  <c r="Z43" i="31" a="1"/>
  <c r="Z28" i="31" a="1"/>
  <c r="R37" i="31" a="1"/>
  <c r="Y19" i="31" a="1"/>
  <c r="Y48" i="31" a="1"/>
  <c r="B31" i="31" a="1"/>
  <c r="B28" i="31" a="1"/>
  <c r="P17" i="31" a="1"/>
  <c r="P27" i="31" a="1"/>
  <c r="C29" i="31" a="1"/>
  <c r="C12" i="31" a="1"/>
  <c r="C22" i="31" a="1"/>
  <c r="J2" i="31" a="1"/>
  <c r="B2" i="31" a="1"/>
  <c r="B11" i="31" a="1"/>
  <c r="Z34" i="31" a="1"/>
  <c r="R18" i="31" a="1"/>
  <c r="Z41" i="31" a="1"/>
  <c r="C42" i="31" a="1"/>
  <c r="Z9" i="31" a="1"/>
  <c r="C16" i="31" a="1"/>
  <c r="P29" i="31" a="1"/>
  <c r="R12" i="31" a="1"/>
  <c r="Y47" i="31" a="1"/>
  <c r="Z12" i="31" a="1"/>
  <c r="Z11" i="31" a="1"/>
  <c r="Y50" i="31" a="1"/>
  <c r="Y46" i="31" a="1"/>
  <c r="C28" i="31" a="1"/>
  <c r="B24" i="31" a="1"/>
  <c r="Y45" i="31" a="1"/>
  <c r="Y22" i="31" a="1"/>
  <c r="P48" i="31" a="1"/>
  <c r="Y43" i="31" a="1"/>
  <c r="B50" i="31" a="1"/>
  <c r="P14" i="31" a="1"/>
  <c r="Z33" i="31" a="1"/>
  <c r="C8" i="31" a="1"/>
  <c r="Z22" i="31" a="1"/>
  <c r="C45" i="31" a="1"/>
  <c r="Z8" i="31" a="1"/>
  <c r="Z47" i="31" a="1"/>
  <c r="B10" i="31" a="1"/>
  <c r="P5" i="31" a="1"/>
  <c r="P38" i="31" a="1"/>
  <c r="Y17" i="31" a="1"/>
  <c r="R41" i="31" a="1"/>
  <c r="Z6" i="31" a="1"/>
  <c r="C35" i="31" a="1"/>
  <c r="Z5" i="31" a="1"/>
  <c r="I2" i="31" a="1"/>
  <c r="R29" i="31" a="1"/>
  <c r="B16" i="31" a="1"/>
  <c r="P49" i="31" a="1"/>
  <c r="Z31" i="31" a="1"/>
  <c r="R39" i="31" a="1"/>
  <c r="R6" i="31" a="1"/>
  <c r="P47" i="31" a="1"/>
  <c r="P23" i="31" a="1"/>
  <c r="P15" i="31" a="1"/>
  <c r="B21" i="31" a="1"/>
  <c r="C11" i="31" a="1"/>
  <c r="P50" i="31" a="1"/>
  <c r="B19" i="31" a="1"/>
  <c r="Z27" i="31" a="1"/>
  <c r="R2" i="31" a="1"/>
  <c r="Y27" i="31" a="1"/>
  <c r="B35" i="31" a="1"/>
  <c r="P33" i="31" a="1"/>
  <c r="Z7" i="31" a="1"/>
  <c r="R30" i="31" a="1"/>
  <c r="C30" i="31" a="1"/>
  <c r="B40" i="31" a="1"/>
  <c r="C49" i="31" a="1"/>
  <c r="P6" i="31" a="1"/>
  <c r="B22" i="31" a="1"/>
  <c r="C14" i="31" a="1"/>
  <c r="B42" i="31" a="1"/>
  <c r="R32" i="31" a="1"/>
  <c r="Z20" i="31" a="1"/>
  <c r="Y41" i="31" a="1"/>
  <c r="B38" i="31" a="1"/>
  <c r="Y37" i="31" a="1"/>
  <c r="Z49" i="31" a="1"/>
  <c r="P25" i="31" a="1"/>
  <c r="Z48" i="31" a="1"/>
  <c r="B47" i="31" a="1"/>
  <c r="C9" i="31" a="1"/>
  <c r="Y21" i="31" a="1"/>
  <c r="P11" i="31" a="1"/>
  <c r="P44" i="31" a="1"/>
  <c r="Y15" i="31" a="1"/>
  <c r="R45" i="31" a="1"/>
  <c r="C13" i="31" a="1"/>
  <c r="C40" i="31" a="1"/>
  <c r="R13" i="31" a="1"/>
  <c r="C25" i="31" a="1"/>
  <c r="R34" i="31" a="1"/>
  <c r="Z17" i="31" a="1"/>
  <c r="Y11" i="31" a="1"/>
  <c r="R4" i="31" a="1"/>
  <c r="Z29" i="31" a="1"/>
  <c r="Z37" i="31" a="1"/>
  <c r="Z23" i="31" a="1"/>
  <c r="R9" i="31" a="1"/>
  <c r="R24" i="31" a="1"/>
  <c r="B6" i="31" a="1"/>
  <c r="B29" i="31" a="1"/>
  <c r="Y39" i="31" a="1"/>
  <c r="R46" i="31" a="1"/>
  <c r="P7" i="31" a="1"/>
  <c r="Z16" i="31" a="1"/>
  <c r="P42" i="31" a="1"/>
  <c r="Z26" i="31" a="1"/>
  <c r="R49" i="31" a="1"/>
  <c r="P18" i="31" a="1"/>
  <c r="Z50" i="31" a="1"/>
  <c r="Z46" i="31" a="1"/>
  <c r="C10" i="31" a="1"/>
  <c r="C2" i="31" a="1"/>
  <c r="P32" i="31" a="1"/>
  <c r="Y20" i="31" a="1"/>
  <c r="P26" i="31" a="1"/>
  <c r="R8" i="31" a="1"/>
  <c r="AV2" i="31" a="1"/>
  <c r="R22" i="31" a="1"/>
  <c r="R43" i="31" a="1"/>
  <c r="R15" i="31" a="1"/>
  <c r="B14" i="31" a="1"/>
  <c r="C23" i="31" a="1"/>
  <c r="Z2" i="31" a="1"/>
  <c r="Y7" i="31" a="1"/>
  <c r="Z21" i="31" a="1"/>
  <c r="Y23" i="31" a="1"/>
  <c r="Z14" i="31" a="1"/>
  <c r="B5" i="31" a="1"/>
  <c r="C3" i="31" a="1"/>
  <c r="R48" i="31" a="1"/>
  <c r="B13" i="31" a="1"/>
  <c r="Y18" i="31" a="1"/>
  <c r="B41" i="31" a="1"/>
  <c r="C46" i="31" a="1"/>
  <c r="P40" i="31" a="1"/>
  <c r="C7" i="31" a="1"/>
  <c r="R40" i="31" a="1"/>
  <c r="Y35" i="31" a="1"/>
  <c r="R38" i="31" a="1"/>
  <c r="Y3" i="31" a="1"/>
  <c r="Z38" i="31" a="1"/>
  <c r="C43" i="31" a="1"/>
  <c r="C20" i="31" a="1"/>
  <c r="C32" i="31" a="1"/>
  <c r="B32" i="31" a="1"/>
  <c r="B39" i="31" a="1"/>
  <c r="B33" i="31" a="1"/>
  <c r="B18" i="31" a="1"/>
  <c r="R33" i="31" a="1"/>
  <c r="P28" i="31" a="1"/>
  <c r="B7" i="31" a="1"/>
  <c r="C39" i="31" a="1"/>
  <c r="R25" i="31" a="1"/>
  <c r="R42" i="31" a="1"/>
  <c r="Z15" i="31" a="1"/>
  <c r="R5" i="31" a="1"/>
  <c r="Z42" i="31" a="1"/>
  <c r="P22" i="31" a="1"/>
  <c r="Y44" i="31" a="1"/>
  <c r="R28" i="31" a="1"/>
  <c r="P43" i="31" a="1"/>
  <c r="P30" i="31" a="1"/>
  <c r="Y40" i="31" a="1"/>
  <c r="P37" i="31" a="1"/>
  <c r="P8" i="31" a="1"/>
  <c r="Y29" i="31" a="1"/>
  <c r="B12" i="31" a="1"/>
  <c r="Y34" i="31" a="1"/>
  <c r="B20" i="31" a="1"/>
  <c r="Y25" i="31" a="1"/>
  <c r="R44" i="31" a="1"/>
  <c r="R27" i="31" a="1"/>
  <c r="P13" i="31" a="1"/>
  <c r="B46" i="31" a="1"/>
  <c r="B9" i="31" a="1"/>
  <c r="Y49" i="31" a="1"/>
  <c r="Y30" i="31" a="1"/>
  <c r="P19" i="31" a="1"/>
  <c r="Y38" i="31" a="1"/>
  <c r="B30" i="31" a="1"/>
  <c r="R21" i="31" a="1"/>
  <c r="Z3" i="31" a="1"/>
  <c r="Y42" i="31" a="1"/>
  <c r="P24" i="31" a="1"/>
  <c r="C5" i="31" a="1"/>
  <c r="Z44" i="31" a="1"/>
  <c r="C31" i="31" a="1"/>
  <c r="C21"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<sst xmlns="http://schemas.openxmlformats.org/spreadsheetml/2006/main" count="3001" uniqueCount="1641">
  <si>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</si>
  <si>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</si>
  <si>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</si>
  <si>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</si>
  <si>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</si>
  <si>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</si>
  <si>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</si>
  <si>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</si>
  <si>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</si>
  <si>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</si>
  <si>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</si>
  <si>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</si>
  <si>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</si>
  <si>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</si>
  <si>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</si>
  <si>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</si>
  <si>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</si>
  <si>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</si>
  <si>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</si>
  <si>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</si>
  <si>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</si>
  <si>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</si>
  <si>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</si>
  <si>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</si>
  <si>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</si>
  <si>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</si>
  <si>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</si>
  <si>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</si>
  <si>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</si>
  <si>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</si>
  <si>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</si>
  <si>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</si>
  <si>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</si>
  <si>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</si>
  <si>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</si>
  <si>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</si>
  <si>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</si>
  <si>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</si>
  <si>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</si>
  <si>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</si>
  <si>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</si>
  <si>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</si>
  <si>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</si>
  <si>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</si>
  <si>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</si>
  <si>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</si>
  <si>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</si>
  <si>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</si>
  <si>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</si>
  <si>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</si>
  <si>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</si>
  <si>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</si>
  <si>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</si>
  <si>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</si>
  <si>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</si>
  <si>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</si>
  <si>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</si>
  <si>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</si>
  <si>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</si>
  <si>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</si>
  <si>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</si>
  <si>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</si>
  <si>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</si>
  <si>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</si>
  <si>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</si>
  <si>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</si>
  <si>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</si>
  <si>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</si>
  <si>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</si>
  <si>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</si>
  <si>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</si>
  <si>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</si>
  <si>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</si>
  <si>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</si>
  <si>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</si>
  <si>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</si>
  <si>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</si>
  <si>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</si>
  <si>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</si>
  <si>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</si>
  <si>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</si>
  <si>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</si>
  <si>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</si>
  <si>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</si>
  <si>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</si>
  <si>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</si>
  <si>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</si>
  <si>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</si>
  <si>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</si>
  <si>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</si>
  <si>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</si>
  <si>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</si>
  <si>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</si>
  <si>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</si>
  <si>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</si>
  <si>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</si>
  <si>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</si>
  <si>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</si>
  <si>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</si>
  <si>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</si>
  <si>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</si>
  <si>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</si>
  <si>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</si>
  <si>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</si>
  <si>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</si>
  <si>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</si>
  <si>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</si>
  <si>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</si>
  <si>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</si>
  <si>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</si>
  <si>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</si>
  <si>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</si>
  <si>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</si>
  <si>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</si>
  <si>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</si>
  <si>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</si>
  <si>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</si>
  <si>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</si>
  <si>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</si>
  <si>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</si>
  <si>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</si>
  <si>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</si>
  <si>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</si>
  <si>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</si>
  <si>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</si>
  <si>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</si>
  <si>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</si>
  <si>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</si>
  <si>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</si>
  <si>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</si>
  <si>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</si>
  <si>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</si>
  <si>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</si>
  <si>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</si>
  <si>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</si>
  <si>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</si>
  <si>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</si>
  <si>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</si>
  <si>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</si>
  <si>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</si>
  <si>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</si>
  <si>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</si>
  <si>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</si>
  <si>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</si>
  <si>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</si>
  <si>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</si>
  <si>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</si>
  <si>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</si>
  <si>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</si>
  <si>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</si>
  <si>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</si>
  <si>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</si>
  <si>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</si>
  <si>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</si>
  <si>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</si>
  <si>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</si>
  <si>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</si>
  <si>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</si>
  <si>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</si>
  <si>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</si>
  <si>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</si>
  <si>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</si>
  <si>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</si>
  <si>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</si>
  <si>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</si>
  <si>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</si>
  <si>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</si>
  <si>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</si>
  <si>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</si>
  <si>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</si>
  <si>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</si>
  <si>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</si>
  <si>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</si>
  <si>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</si>
  <si>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</si>
  <si>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</si>
  <si>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</si>
  <si>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</si>
  <si>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</si>
  <si>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</si>
  <si>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</si>
  <si>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</si>
  <si>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</si>
  <si>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</si>
  <si>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</si>
  <si>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</si>
  <si>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</si>
  <si>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</si>
  <si>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</si>
  <si>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</si>
  <si>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</si>
  <si>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</si>
  <si>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</si>
  <si>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</si>
  <si>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</si>
  <si>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</si>
  <si>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</si>
  <si>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</si>
  <si>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</si>
  <si>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</si>
  <si>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</si>
  <si>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</si>
  <si>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</si>
  <si>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</si>
  <si>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</si>
  <si>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</si>
  <si>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</si>
  <si>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</si>
  <si>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</si>
  <si>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</si>
  <si>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</si>
  <si>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</si>
  <si>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</si>
  <si>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</si>
  <si>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</si>
  <si>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</si>
  <si>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</si>
  <si>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</si>
  <si>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</si>
  <si>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</si>
  <si>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</si>
  <si>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</si>
  <si>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</si>
  <si>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</si>
  <si>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</si>
  <si>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</si>
  <si>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</si>
  <si>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</si>
  <si>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</si>
  <si>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</si>
  <si>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</si>
  <si>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</si>
  <si>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</si>
  <si>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</si>
  <si>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</si>
  <si>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</si>
  <si>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</si>
  <si>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</si>
  <si>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</si>
  <si>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</si>
  <si>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</si>
  <si>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</si>
  <si>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</si>
  <si>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</si>
  <si>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</si>
  <si>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</si>
  <si>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</si>
  <si>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</si>
  <si>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</si>
  <si>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</si>
  <si>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</si>
  <si>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</si>
  <si>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</si>
  <si>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</si>
  <si>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</si>
  <si>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</si>
  <si>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</si>
  <si>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</si>
  <si>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</si>
  <si>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</si>
  <si>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</si>
  <si>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</si>
  <si>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</si>
  <si>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</si>
  <si>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</si>
  <si>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</si>
  <si>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</si>
  <si>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</si>
  <si>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</si>
  <si>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</si>
  <si>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</si>
  <si>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</si>
  <si>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</si>
  <si>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</si>
  <si>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</si>
  <si>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</si>
  <si>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</si>
  <si>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</si>
  <si>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</si>
  <si>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</si>
  <si>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</si>
  <si>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</si>
  <si>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</si>
  <si>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</si>
  <si>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</si>
  <si>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</si>
  <si>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</si>
  <si>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</si>
  <si>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</si>
  <si>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</si>
  <si>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</si>
  <si>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</si>
  <si>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</si>
  <si>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</si>
  <si>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</si>
  <si>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</si>
  <si>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</si>
  <si>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</si>
  <si>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</si>
  <si>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</si>
  <si>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</si>
  <si>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</si>
  <si>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</si>
  <si>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</si>
  <si>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</si>
  <si>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</si>
  <si>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</si>
  <si>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</si>
  <si>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</si>
  <si>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</si>
  <si>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</si>
  <si>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</si>
  <si>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</si>
  <si>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</si>
  <si>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</si>
  <si>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</si>
  <si>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</si>
  <si>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</si>
  <si>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</si>
  <si>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</si>
  <si>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</si>
  <si>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</si>
  <si>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</si>
  <si>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</si>
  <si>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</si>
  <si>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</si>
  <si>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</si>
  <si>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</si>
  <si>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</si>
  <si>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</si>
  <si>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</si>
  <si>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</si>
  <si>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</si>
  <si>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</si>
  <si>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</si>
  <si>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</si>
  <si>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</si>
  <si>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</si>
  <si>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</si>
  <si>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</si>
  <si>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</si>
  <si>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</si>
  <si>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</si>
  <si>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</si>
  <si>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</si>
  <si>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</si>
  <si>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</si>
  <si>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</si>
  <si>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</si>
  <si>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</si>
  <si>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</si>
  <si>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</si>
  <si>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</si>
  <si>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</si>
  <si>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</si>
  <si>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</si>
  <si>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</si>
  <si>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</si>
  <si>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</si>
  <si>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</si>
  <si>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</si>
  <si>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</si>
  <si>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</si>
  <si>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</si>
  <si>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</si>
  <si>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</si>
  <si>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</si>
  <si>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</si>
  <si>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</si>
  <si>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</si>
  <si>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</si>
  <si>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</si>
  <si>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</si>
  <si>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</si>
  <si>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</si>
  <si>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</si>
  <si>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</si>
  <si>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</si>
  <si>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</si>
  <si>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</si>
  <si>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</si>
  <si>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</si>
  <si>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</si>
  <si>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</si>
  <si>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</si>
  <si>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</si>
  <si>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</si>
  <si>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</si>
  <si>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</si>
  <si>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</si>
  <si>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</si>
  <si>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</si>
  <si>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</si>
  <si>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</si>
  <si>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</si>
  <si>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</si>
  <si>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</si>
  <si>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</si>
  <si>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</si>
  <si>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</si>
  <si>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</si>
  <si>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</si>
  <si>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</si>
  <si>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</si>
  <si>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</si>
  <si>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</si>
  <si>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</si>
  <si>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</si>
  <si>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</si>
  <si>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</si>
  <si>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</si>
  <si>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</si>
  <si>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</si>
  <si>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</si>
  <si>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</si>
  <si>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</si>
  <si>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</si>
  <si>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</si>
  <si>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</si>
  <si>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</si>
  <si>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</si>
  <si>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</si>
  <si>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</si>
  <si>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</si>
  <si>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</si>
  <si>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</si>
  <si>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</si>
  <si>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</si>
  <si>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</si>
  <si>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</si>
  <si>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</si>
  <si>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</si>
  <si>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</si>
  <si>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</si>
  <si>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</si>
  <si>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</si>
  <si>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</si>
  <si>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</si>
  <si>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</si>
  <si>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</si>
  <si>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</si>
  <si>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</si>
  <si>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</si>
  <si>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</si>
  <si>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</si>
  <si>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</si>
  <si>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</si>
  <si>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</si>
  <si>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</si>
  <si>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</si>
  <si>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</si>
  <si>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</si>
  <si>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</si>
  <si>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</si>
  <si>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</si>
  <si>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</si>
  <si>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</si>
  <si>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</si>
  <si>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</si>
  <si>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</si>
  <si>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</si>
  <si>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</si>
  <si>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</si>
  <si>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</si>
  <si>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</si>
  <si>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</si>
  <si>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</si>
  <si>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</si>
  <si>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</si>
  <si>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</si>
  <si>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</si>
  <si>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</si>
  <si>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</si>
  <si>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</si>
  <si>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</si>
  <si>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</si>
  <si>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</si>
  <si>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</si>
  <si>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</si>
  <si>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</si>
  <si>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</si>
  <si>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</si>
  <si>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</si>
  <si>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</si>
  <si>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</si>
  <si>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</si>
  <si>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</si>
  <si>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</si>
  <si>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</si>
  <si>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</si>
  <si>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</si>
  <si>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</si>
  <si>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</si>
  <si>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</si>
  <si>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</si>
  <si>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</si>
  <si>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</si>
  <si>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</si>
  <si>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</si>
  <si>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</si>
  <si>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</si>
  <si>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</si>
  <si>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</si>
  <si>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</si>
  <si>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</si>
  <si>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</si>
  <si>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</si>
  <si>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</si>
  <si>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</si>
  <si>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</si>
  <si>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</si>
  <si>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</si>
  <si>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</si>
  <si>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</si>
  <si>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</si>
  <si>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</si>
  <si>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</si>
  <si>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</si>
  <si>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</si>
  <si>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</si>
  <si>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</si>
  <si>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</si>
  <si>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</si>
  <si>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</si>
  <si>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</si>
  <si>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</si>
  <si>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</si>
  <si>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</si>
  <si>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</si>
  <si>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</si>
  <si>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</si>
  <si>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</si>
  <si>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</si>
  <si>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</si>
  <si>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</si>
  <si>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</si>
  <si>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</si>
  <si>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</si>
  <si>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</si>
  <si>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</si>
  <si>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</si>
  <si>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</si>
  <si>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</si>
  <si>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</si>
  <si>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</si>
  <si>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</si>
  <si>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</si>
  <si>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</si>
  <si>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</si>
  <si>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</si>
  <si>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</si>
  <si>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</si>
  <si>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</si>
  <si>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</si>
  <si>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</si>
  <si>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</si>
  <si>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</si>
  <si>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</si>
  <si>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</si>
  <si>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</si>
  <si>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</si>
  <si>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</si>
  <si>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</si>
  <si>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</si>
  <si>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</si>
  <si>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</si>
  <si>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</si>
  <si>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</si>
  <si>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</si>
  <si>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</si>
  <si>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</si>
  <si>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</si>
  <si>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</si>
  <si>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</si>
  <si>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</si>
  <si>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</si>
  <si>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</si>
  <si>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</si>
  <si>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</si>
  <si>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</si>
  <si>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</si>
  <si>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</si>
  <si>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</si>
  <si>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</si>
  <si>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</si>
  <si>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</si>
  <si>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</si>
  <si>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</si>
  <si>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</si>
  <si>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</si>
  <si>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</si>
  <si>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</si>
  <si>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</si>
  <si>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</si>
  <si>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</si>
  <si>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</si>
  <si>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</si>
  <si>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</si>
  <si>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</si>
  <si>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</si>
  <si>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</si>
  <si>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</si>
  <si>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</si>
  <si>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</si>
  <si>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</si>
  <si>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</si>
  <si>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</si>
  <si>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</si>
  <si>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</si>
  <si>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</si>
  <si>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</si>
  <si>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</si>
  <si>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</si>
  <si>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</si>
  <si>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</si>
  <si>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</si>
  <si>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</si>
  <si>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</si>
  <si>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</si>
  <si>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</si>
  <si>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</si>
  <si>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</si>
  <si>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</si>
  <si>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</si>
  <si>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</si>
  <si>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</si>
  <si>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</si>
  <si>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</si>
  <si>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</si>
  <si>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</si>
  <si>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</si>
  <si>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</si>
  <si>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</si>
  <si>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</si>
  <si>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</si>
  <si>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</si>
  <si>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</si>
  <si>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</si>
  <si>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</si>
  <si>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</si>
  <si>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</si>
  <si>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</si>
  <si>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</si>
  <si>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</si>
  <si>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</si>
  <si>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</si>
  <si>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</si>
  <si>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</si>
  <si>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</si>
  <si>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</si>
  <si>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</si>
  <si>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</si>
  <si>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</si>
  <si>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</si>
  <si>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</si>
  <si>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</si>
  <si>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</si>
  <si>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</si>
  <si>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</si>
  <si>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</si>
  <si>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</si>
  <si>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</si>
  <si>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</si>
  <si>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</si>
  <si>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</si>
  <si>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</si>
  <si>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</si>
  <si>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</si>
  <si>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</si>
  <si>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</si>
  <si>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</si>
  <si>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</si>
  <si>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</si>
  <si>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</si>
  <si>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</si>
  <si>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</si>
  <si>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</si>
  <si>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</si>
  <si>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</si>
  <si>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</si>
  <si>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</si>
  <si>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</si>
  <si>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</si>
  <si>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</si>
  <si>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</si>
  <si>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</si>
  <si>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</si>
  <si>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</si>
  <si>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</si>
  <si>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</si>
  <si>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</si>
  <si>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</si>
  <si>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</si>
  <si>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</si>
  <si>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</si>
  <si>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</si>
  <si>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</si>
  <si>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</si>
  <si>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</si>
  <si>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</si>
  <si>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</si>
  <si>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</si>
  <si>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</si>
  <si>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</si>
  <si>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</si>
  <si>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</si>
  <si>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</si>
  <si>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</si>
  <si>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</si>
  <si>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</si>
  <si>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</si>
  <si>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</si>
  <si>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</si>
  <si>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</si>
  <si>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</si>
  <si>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</si>
  <si>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</si>
  <si>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</si>
  <si>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</si>
  <si>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</si>
  <si>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</si>
  <si>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</si>
  <si>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</si>
  <si>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</si>
  <si>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</si>
  <si>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</si>
  <si>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</si>
  <si>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</si>
  <si>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</si>
  <si>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</si>
  <si>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</si>
  <si>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</si>
  <si>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</si>
  <si>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</si>
  <si>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</si>
  <si>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</si>
  <si>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</si>
  <si>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</si>
  <si>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</si>
  <si>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</si>
  <si>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</si>
  <si>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</si>
  <si>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</si>
  <si>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</si>
  <si>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</si>
  <si>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</si>
  <si>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</si>
  <si>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</si>
  <si>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</si>
  <si>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</si>
  <si>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</si>
  <si>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</si>
  <si>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</si>
  <si>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</si>
  <si>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</si>
  <si>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</si>
  <si>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</si>
  <si>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</si>
  <si>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</si>
  <si>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</si>
  <si>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</si>
  <si>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</si>
  <si>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</si>
  <si>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</si>
  <si>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</si>
  <si>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</si>
  <si>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</si>
  <si>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</si>
  <si>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</si>
  <si>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</si>
  <si>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</si>
  <si>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</si>
  <si>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</si>
  <si>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</si>
  <si>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</si>
  <si>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</si>
  <si>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</si>
  <si>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</si>
  <si>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</si>
  <si>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</si>
  <si>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</si>
  <si>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</si>
  <si>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</si>
  <si>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</si>
  <si>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</si>
  <si>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</si>
  <si>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</si>
  <si>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</si>
  <si>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</si>
  <si>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</si>
  <si>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</si>
  <si>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</si>
  <si>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</si>
  <si>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</si>
  <si>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</si>
  <si>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</si>
  <si>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</si>
  <si>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</si>
  <si>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</si>
  <si>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</si>
  <si>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</si>
  <si>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</si>
  <si>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</si>
  <si>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</si>
  <si>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</si>
  <si>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</si>
  <si>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</si>
  <si>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</si>
  <si>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</si>
  <si>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</si>
  <si>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</si>
  <si>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</si>
  <si>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</si>
  <si>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</si>
  <si>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</si>
  <si>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</si>
  <si>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</si>
  <si>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</si>
  <si>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</si>
  <si>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</si>
  <si>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</si>
  <si>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</si>
  <si>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</si>
  <si>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</si>
  <si>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</si>
  <si>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</si>
  <si>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</si>
  <si>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</si>
  <si>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</si>
  <si>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</si>
  <si>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</si>
  <si>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</si>
  <si>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</si>
  <si>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</si>
  <si>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</si>
  <si>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</si>
  <si>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</si>
  <si>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</si>
  <si>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</si>
  <si>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</si>
  <si>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</si>
  <si>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</si>
  <si>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</si>
  <si>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</si>
  <si>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</si>
  <si>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</si>
  <si>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</si>
  <si>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</si>
  <si>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</si>
  <si>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</si>
  <si>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</si>
  <si>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</si>
  <si>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</si>
  <si>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</si>
  <si>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</si>
  <si>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</si>
  <si>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</si>
  <si>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</si>
  <si>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</si>
  <si>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</si>
  <si>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</si>
  <si>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</si>
  <si>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</si>
  <si>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</si>
  <si>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</si>
  <si>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</si>
  <si>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</si>
  <si>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</si>
  <si>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</si>
  <si>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</si>
  <si>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</si>
  <si>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</si>
  <si>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</si>
  <si>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</si>
  <si>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</si>
  <si>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</si>
  <si>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</si>
  <si>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</si>
  <si>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</si>
  <si>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</si>
  <si>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</si>
  <si>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</si>
  <si>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</si>
  <si>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</si>
  <si>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</si>
  <si>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</si>
  <si>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</si>
  <si>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</si>
  <si>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</si>
  <si>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</si>
  <si>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</si>
  <si>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</si>
  <si>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</si>
  <si>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</si>
  <si>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</si>
  <si>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</si>
  <si>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</si>
  <si>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</si>
  <si>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</si>
  <si>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</si>
  <si>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</si>
  <si>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</si>
  <si>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</si>
  <si>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</si>
  <si>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</si>
  <si>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</si>
  <si>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</si>
  <si>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</si>
  <si>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</si>
  <si>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</si>
  <si>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</si>
  <si>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</si>
  <si>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</si>
  <si>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</si>
  <si>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</si>
  <si>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</si>
  <si>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</si>
  <si>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</si>
  <si>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</si>
  <si>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</si>
  <si>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</si>
  <si>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</si>
  <si>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</si>
  <si>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</si>
  <si>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</si>
  <si>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</si>
  <si>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</si>
  <si>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</si>
  <si>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</si>
  <si>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</si>
  <si>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</si>
  <si>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</si>
  <si>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</si>
  <si>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</si>
  <si>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</si>
  <si>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</si>
  <si>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</si>
  <si>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</si>
  <si>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</si>
  <si>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</si>
  <si>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</si>
  <si>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</si>
  <si>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</si>
  <si>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</si>
  <si>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</si>
  <si>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</si>
  <si>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</si>
  <si>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</si>
  <si>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</si>
  <si>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</si>
  <si>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</si>
  <si>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</si>
  <si>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</si>
  <si>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</si>
  <si>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</si>
  <si>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</si>
  <si>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</si>
  <si>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</si>
  <si>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</si>
  <si>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</si>
  <si>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</si>
  <si>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</si>
  <si>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</si>
  <si>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</si>
  <si>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</si>
  <si>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</si>
  <si>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</si>
  <si>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</si>
  <si>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</si>
  <si>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</si>
  <si>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</si>
  <si>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</si>
  <si>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</si>
  <si>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</si>
  <si>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</si>
  <si>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</si>
  <si>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</si>
  <si>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</si>
  <si>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</si>
  <si>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</si>
  <si>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</si>
  <si>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</si>
  <si>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</si>
  <si>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</si>
  <si>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</si>
  <si>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</si>
  <si>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</si>
  <si>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</si>
  <si>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</si>
  <si>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</si>
  <si>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</si>
  <si>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</si>
  <si>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</si>
  <si>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</si>
  <si>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</si>
  <si>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</si>
  <si>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</si>
  <si>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</si>
  <si>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</si>
  <si>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</si>
  <si>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</si>
  <si>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</si>
  <si>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</si>
  <si>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</si>
  <si>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</si>
  <si>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</si>
  <si>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</si>
  <si>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</si>
  <si>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</si>
  <si>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</si>
  <si>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</si>
  <si>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</si>
  <si>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</si>
  <si>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</si>
  <si>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</si>
  <si>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</si>
  <si>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</si>
  <si>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</si>
  <si>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</si>
  <si>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</si>
  <si>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</si>
  <si>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</si>
  <si>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</si>
  <si>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</si>
  <si>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</si>
  <si>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</si>
  <si>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</si>
  <si>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</si>
  <si>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</si>
  <si>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</si>
  <si>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</si>
  <si>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</si>
  <si>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</si>
  <si>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</si>
  <si>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</si>
  <si>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</si>
  <si>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</si>
  <si>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</si>
  <si>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</si>
  <si>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</si>
  <si>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</si>
  <si>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</si>
  <si>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</si>
  <si>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</si>
  <si>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</si>
  <si>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</si>
  <si>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</si>
  <si>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</si>
  <si>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</si>
  <si>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</si>
  <si>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</si>
  <si>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</si>
  <si>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</si>
  <si>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</si>
  <si>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</si>
  <si>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</si>
  <si>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</si>
  <si>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</si>
  <si>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</si>
  <si>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</si>
  <si>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</si>
  <si>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</si>
  <si>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</si>
  <si>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</si>
  <si>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</si>
  <si>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</si>
  <si>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</si>
  <si>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</si>
  <si>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</si>
  <si>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</si>
  <si>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</si>
  <si>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</si>
  <si>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</si>
  <si>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</si>
  <si>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</si>
  <si>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</si>
  <si>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</si>
  <si>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</si>
  <si>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</si>
  <si>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</si>
  <si>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</si>
  <si>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</si>
  <si>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</si>
  <si>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</si>
  <si>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</si>
  <si>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</si>
  <si>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</si>
  <si>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</si>
  <si>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</si>
  <si>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</si>
  <si>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</si>
  <si>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</si>
  <si>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</si>
  <si>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</si>
  <si>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</si>
  <si>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</si>
  <si>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</si>
  <si>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</si>
  <si>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</si>
  <si>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</si>
  <si>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</si>
  <si>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</si>
  <si>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</si>
  <si>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</si>
  <si>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</si>
  <si>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</si>
  <si>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</si>
  <si>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</si>
  <si>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</si>
  <si>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</si>
  <si>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</si>
  <si>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</si>
  <si>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</si>
  <si>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</si>
  <si>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</si>
  <si>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</si>
  <si>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</si>
  <si>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</si>
  <si>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</si>
  <si>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</si>
  <si>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</si>
  <si>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</si>
  <si>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</si>
  <si>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</si>
  <si>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</si>
  <si>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</si>
  <si>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</si>
  <si>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</si>
  <si>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</si>
  <si>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</si>
  <si>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</si>
  <si>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</si>
  <si>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</si>
  <si>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</si>
  <si>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</si>
  <si>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</si>
  <si>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</si>
  <si>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</si>
  <si>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</si>
  <si>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</si>
  <si>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</si>
  <si>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</si>
  <si>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</si>
  <si>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</si>
  <si>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</si>
  <si>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</si>
  <si>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</si>
  <si>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</si>
  <si>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</si>
  <si>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</si>
  <si>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</si>
  <si>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</si>
  <si>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</si>
  <si>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</si>
  <si>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</si>
  <si>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</si>
  <si>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</si>
  <si>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</si>
  <si>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</si>
  <si>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</si>
  <si>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</si>
  <si>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</si>
  <si>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</si>
  <si>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</si>
  <si>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</si>
  <si>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</si>
  <si>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</si>
  <si>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</si>
  <si>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</si>
  <si>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</si>
  <si>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</si>
  <si>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</si>
  <si>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</si>
  <si>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</si>
  <si>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</si>
  <si>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</si>
  <si>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</si>
  <si>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</si>
  <si>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</si>
  <si>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</si>
  <si>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</si>
  <si>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</si>
  <si>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</si>
  <si>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</si>
  <si>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</si>
  <si>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</si>
  <si>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</si>
  <si>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</si>
  <si>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</si>
  <si>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</si>
  <si>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</si>
  <si>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</si>
  <si>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</si>
  <si>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</si>
  <si>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</si>
  <si>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</si>
  <si>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</si>
  <si>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</si>
  <si>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</si>
  <si>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</si>
  <si>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</si>
  <si>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</si>
  <si>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</si>
  <si>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</si>
  <si>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</si>
  <si>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</si>
  <si>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Network@nonprod-vcn::nonprod-dmz</t>
  </si>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</sst>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i/>
      <u/>
      <sz val="11"/>
      <color rgb="FFC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3" fillId="0" borderId="0" applyNumberFormat="0" applyFill="0" applyBorder="0" applyAlignment="0" applyProtection="0"/>
    <xf numFmtId="0" fontId="33" fillId="0" borderId="0"/>
  </cellStyleXfs>
  <cellXfs count="172">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25" fillId="2" borderId="13" xfId="0" applyFont="1" applyFill="1" applyBorder="1" applyAlignment="1">
      <alignment vertical="center"/>
    </xf>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1" fillId="0" borderId="0" xfId="0" applyFont="1" applyAlignment="1">
      <alignment vertical="center"/>
    </xf>
    <xf numFmtId="0" fontId="3" fillId="3" borderId="11" xfId="0" applyFont="1" applyFill="1" applyBorder="1" applyAlignment="1">
      <alignment vertical="top" wrapText="1"/>
    </xf>
    <xf numFmtId="0" fontId="43" fillId="0" borderId="0" xfId="0" applyFont="1" applyAlignment="1">
      <alignment horizontal="left"/>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40" fillId="11" borderId="3" xfId="0" applyFont="1" applyFill="1" applyBorder="1" applyAlignment="1">
      <alignment wrapText="1"/>
    </xf>
    <xf numFmtId="0" fontId="40" fillId="11" borderId="17" xfId="0" applyFont="1" applyFill="1" applyBorder="1" applyAlignment="1">
      <alignment wrapText="1"/>
    </xf>
    <xf numFmtId="0" fontId="33" fillId="3" borderId="0" xfId="3" applyFill="1" applyAlignment="1">
      <alignment wrapText="1"/>
    </xf>
    <xf numFmtId="0" fontId="33"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1"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3" fillId="0" borderId="13"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1/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0" t="s">
        <v>1609</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5" sqref="A5"/>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42" t="s">
        <v>1022</v>
      </c>
      <c r="B1" s="142"/>
      <c r="C1" s="142"/>
      <c r="D1" s="142"/>
      <c r="E1" s="142"/>
    </row>
    <row r="2" spans="1:5" x14ac:dyDescent="0.2">
      <c r="A2" s="26" t="s">
        <v>0</v>
      </c>
      <c r="B2" s="26" t="s">
        <v>1</v>
      </c>
      <c r="C2" s="26" t="s">
        <v>2</v>
      </c>
      <c r="D2" s="26" t="s">
        <v>3</v>
      </c>
      <c r="E2" s="26" t="s">
        <v>417</v>
      </c>
    </row>
    <row r="3" spans="1:5" ht="43.5" customHeight="1" x14ac:dyDescent="0.2">
      <c r="A3" s="32" t="s">
        <v>5</v>
      </c>
      <c r="B3" s="32" t="s">
        <v>548</v>
      </c>
      <c r="C3" s="32" t="s">
        <v>1253</v>
      </c>
      <c r="D3" s="32" t="s">
        <v>394</v>
      </c>
      <c r="E3" s="33"/>
    </row>
    <row r="4" spans="1:5" ht="29.25" customHeight="1" x14ac:dyDescent="0.2">
      <c r="A4" s="32" t="s">
        <v>5</v>
      </c>
      <c r="B4" s="32" t="s">
        <v>549</v>
      </c>
      <c r="C4" s="32" t="s">
        <v>1254</v>
      </c>
      <c r="D4" s="32" t="s">
        <v>394</v>
      </c>
      <c r="E4" s="33"/>
    </row>
    <row r="5" spans="1:5" ht="45" customHeight="1" x14ac:dyDescent="0.2">
      <c r="A5" s="32" t="s">
        <v>1585</v>
      </c>
      <c r="B5" s="32" t="s">
        <v>347</v>
      </c>
      <c r="C5" s="32" t="s">
        <v>1255</v>
      </c>
      <c r="D5" s="32" t="s">
        <v>394</v>
      </c>
      <c r="E5" s="33"/>
    </row>
    <row r="6" spans="1:5" ht="28.5" customHeight="1" x14ac:dyDescent="0.2">
      <c r="A6" s="32" t="s">
        <v>5</v>
      </c>
      <c r="B6" s="32" t="s">
        <v>550</v>
      </c>
      <c r="C6" s="32" t="s">
        <v>1256</v>
      </c>
      <c r="D6" s="32" t="s">
        <v>394</v>
      </c>
      <c r="E6" s="33"/>
    </row>
    <row r="7" spans="1:5" x14ac:dyDescent="0.2">
      <c r="A7" s="33" t="s">
        <v>4</v>
      </c>
      <c r="B7" s="33"/>
      <c r="C7" s="33"/>
      <c r="D7" s="32"/>
      <c r="E7" s="33"/>
    </row>
    <row r="8" spans="1:5" x14ac:dyDescent="0.2">
      <c r="A8" s="53" t="s">
        <v>5</v>
      </c>
      <c r="B8" s="53" t="s">
        <v>347</v>
      </c>
      <c r="C8" s="53" t="s">
        <v>348</v>
      </c>
      <c r="D8" s="53"/>
      <c r="E8" s="53"/>
    </row>
    <row r="9" spans="1:5" ht="15.75" customHeight="1" x14ac:dyDescent="0.2">
      <c r="A9" s="53" t="s">
        <v>5</v>
      </c>
      <c r="B9" s="53" t="s">
        <v>349</v>
      </c>
      <c r="C9" s="53" t="s">
        <v>350</v>
      </c>
      <c r="D9" s="53" t="s">
        <v>347</v>
      </c>
      <c r="E9" s="53"/>
    </row>
    <row r="10" spans="1:5" x14ac:dyDescent="0.2">
      <c r="A10" s="53" t="s">
        <v>5</v>
      </c>
      <c r="B10" s="53" t="s">
        <v>351</v>
      </c>
      <c r="C10" s="53" t="s">
        <v>352</v>
      </c>
      <c r="D10" s="53" t="s">
        <v>347</v>
      </c>
      <c r="E10" s="53"/>
    </row>
    <row r="11" spans="1:5" x14ac:dyDescent="0.2">
      <c r="A11" s="53" t="s">
        <v>5</v>
      </c>
      <c r="B11" s="53" t="s">
        <v>353</v>
      </c>
      <c r="C11" s="53" t="s">
        <v>354</v>
      </c>
      <c r="D11" s="53"/>
      <c r="E11" s="53"/>
    </row>
    <row r="12" spans="1:5" x14ac:dyDescent="0.2">
      <c r="A12" s="53" t="s">
        <v>5</v>
      </c>
      <c r="B12" s="53" t="s">
        <v>349</v>
      </c>
      <c r="C12" s="53" t="s">
        <v>355</v>
      </c>
      <c r="D12" s="53" t="s">
        <v>353</v>
      </c>
      <c r="E12" s="53"/>
    </row>
    <row r="13" spans="1:5" x14ac:dyDescent="0.2">
      <c r="A13" s="53" t="s">
        <v>5</v>
      </c>
      <c r="B13" s="53" t="s">
        <v>318</v>
      </c>
      <c r="C13" s="53" t="s">
        <v>356</v>
      </c>
      <c r="D13" s="53" t="s">
        <v>357</v>
      </c>
      <c r="E13" s="53"/>
    </row>
    <row r="14" spans="1:5" x14ac:dyDescent="0.2">
      <c r="A14" s="53" t="s">
        <v>5</v>
      </c>
      <c r="B14" s="53" t="s">
        <v>351</v>
      </c>
      <c r="C14" s="53" t="s">
        <v>358</v>
      </c>
      <c r="D14" s="53" t="s">
        <v>353</v>
      </c>
      <c r="E14" s="53"/>
    </row>
    <row r="15" spans="1:5" ht="32" x14ac:dyDescent="0.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x14ac:dyDescent="0.2">
      <c r="A1" s="143" t="s">
        <v>1227</v>
      </c>
      <c r="B1" s="144"/>
      <c r="C1" s="144"/>
      <c r="D1" s="144"/>
      <c r="E1" s="144"/>
      <c r="F1" s="144"/>
      <c r="G1" s="145"/>
    </row>
    <row r="2" spans="1:7" x14ac:dyDescent="0.2">
      <c r="A2" s="109" t="s">
        <v>0</v>
      </c>
      <c r="B2" s="110" t="s">
        <v>1</v>
      </c>
      <c r="C2" s="110" t="s">
        <v>2</v>
      </c>
      <c r="D2" s="111" t="s">
        <v>1129</v>
      </c>
      <c r="E2" s="111" t="s">
        <v>1228</v>
      </c>
      <c r="F2" s="132" t="s">
        <v>422</v>
      </c>
      <c r="G2" s="111" t="s">
        <v>417</v>
      </c>
    </row>
    <row r="3" spans="1:7" ht="48" x14ac:dyDescent="0.2">
      <c r="A3" s="32" t="s">
        <v>5</v>
      </c>
      <c r="B3" s="32" t="s">
        <v>551</v>
      </c>
      <c r="C3" s="32" t="s">
        <v>1257</v>
      </c>
      <c r="D3" s="32"/>
      <c r="E3" s="33"/>
      <c r="F3" s="33"/>
      <c r="G3" s="33"/>
    </row>
    <row r="4" spans="1:7" ht="32" x14ac:dyDescent="0.2">
      <c r="A4" s="32" t="s">
        <v>5</v>
      </c>
      <c r="B4" s="32" t="s">
        <v>826</v>
      </c>
      <c r="C4" s="32" t="s">
        <v>1258</v>
      </c>
      <c r="D4" s="32"/>
      <c r="E4" s="33"/>
      <c r="F4" s="33"/>
      <c r="G4" s="33"/>
    </row>
    <row r="5" spans="1:7" ht="15" customHeight="1" x14ac:dyDescent="0.2">
      <c r="A5" s="32" t="s">
        <v>5</v>
      </c>
      <c r="B5" s="32" t="s">
        <v>552</v>
      </c>
      <c r="C5" s="32" t="s">
        <v>553</v>
      </c>
      <c r="D5" s="32"/>
      <c r="E5" s="33"/>
      <c r="F5" s="33"/>
      <c r="G5" s="33"/>
    </row>
    <row r="6" spans="1:7" ht="32" x14ac:dyDescent="0.2">
      <c r="A6" s="32" t="s">
        <v>5</v>
      </c>
      <c r="B6" s="32" t="s">
        <v>554</v>
      </c>
      <c r="C6" s="32" t="s">
        <v>1259</v>
      </c>
      <c r="D6" s="32"/>
      <c r="E6" s="33"/>
      <c r="F6" s="33"/>
      <c r="G6" s="33"/>
    </row>
    <row r="7" spans="1:7" ht="32" x14ac:dyDescent="0.2">
      <c r="A7" s="55" t="s">
        <v>5</v>
      </c>
      <c r="B7" s="32" t="s">
        <v>555</v>
      </c>
      <c r="C7" s="32" t="s">
        <v>1260</v>
      </c>
      <c r="D7" s="32"/>
      <c r="E7" s="19"/>
      <c r="F7" s="33"/>
      <c r="G7" s="33"/>
    </row>
    <row r="8" spans="1:7" ht="16" customHeight="1" x14ac:dyDescent="0.2">
      <c r="A8" s="32" t="s">
        <v>5</v>
      </c>
      <c r="B8" s="55" t="s">
        <v>556</v>
      </c>
      <c r="C8" s="55" t="s">
        <v>1261</v>
      </c>
      <c r="D8" s="19"/>
      <c r="E8" s="32"/>
      <c r="F8" s="33"/>
      <c r="G8" s="33"/>
    </row>
    <row r="9" spans="1:7" ht="28" customHeight="1" x14ac:dyDescent="0.2">
      <c r="A9" s="32" t="s">
        <v>5</v>
      </c>
      <c r="B9" s="32" t="s">
        <v>557</v>
      </c>
      <c r="C9" s="32" t="s">
        <v>1262</v>
      </c>
      <c r="D9" s="32"/>
      <c r="E9" s="32"/>
      <c r="F9" s="33"/>
      <c r="G9" s="33"/>
    </row>
    <row r="10" spans="1:7" ht="28" customHeight="1" x14ac:dyDescent="0.2">
      <c r="A10" s="32" t="s">
        <v>5</v>
      </c>
      <c r="B10" s="32" t="s">
        <v>623</v>
      </c>
      <c r="C10" s="32" t="s">
        <v>624</v>
      </c>
      <c r="D10" s="32"/>
      <c r="E10" s="32"/>
      <c r="F10" s="33"/>
      <c r="G10" s="33"/>
    </row>
    <row r="11" spans="1:7" ht="28" customHeight="1" x14ac:dyDescent="0.2">
      <c r="A11" s="32" t="s">
        <v>5</v>
      </c>
      <c r="B11" s="32" t="s">
        <v>642</v>
      </c>
      <c r="C11" s="32" t="s">
        <v>1263</v>
      </c>
      <c r="D11" s="32"/>
      <c r="E11" s="32"/>
      <c r="F11" s="33"/>
      <c r="G11" s="33"/>
    </row>
    <row r="12" spans="1:7" ht="16" x14ac:dyDescent="0.2">
      <c r="A12" s="32" t="s">
        <v>5</v>
      </c>
      <c r="B12" s="32" t="s">
        <v>738</v>
      </c>
      <c r="C12" s="32" t="s">
        <v>739</v>
      </c>
      <c r="D12" s="32"/>
      <c r="E12" s="33"/>
      <c r="F12" s="33"/>
      <c r="G12" s="33"/>
    </row>
    <row r="13" spans="1:7" ht="32" x14ac:dyDescent="0.2">
      <c r="A13" s="32" t="s">
        <v>5</v>
      </c>
      <c r="B13" s="32" t="s">
        <v>1610</v>
      </c>
      <c r="C13" s="32" t="s">
        <v>1611</v>
      </c>
      <c r="D13" s="32"/>
      <c r="E13" s="33"/>
      <c r="F13" s="33"/>
      <c r="G13" s="33"/>
    </row>
    <row r="14" spans="1:7" ht="16" x14ac:dyDescent="0.2">
      <c r="A14" s="32" t="s">
        <v>4</v>
      </c>
      <c r="B14" s="33"/>
      <c r="C14" s="33"/>
      <c r="D14" s="33"/>
      <c r="E14" s="33"/>
      <c r="F14" s="33"/>
      <c r="G14" s="33"/>
    </row>
    <row r="15" spans="1:7" ht="80" x14ac:dyDescent="0.2">
      <c r="A15" s="33" t="s">
        <v>5</v>
      </c>
      <c r="B15" s="18" t="s">
        <v>827</v>
      </c>
      <c r="C15" s="18" t="s">
        <v>1264</v>
      </c>
      <c r="D15" s="33"/>
      <c r="E15" s="6"/>
      <c r="F15" s="32" t="s">
        <v>828</v>
      </c>
      <c r="G15" s="33"/>
    </row>
    <row r="16" spans="1:7" ht="64" x14ac:dyDescent="0.2">
      <c r="A16" s="33" t="s">
        <v>5</v>
      </c>
      <c r="B16" s="32" t="s">
        <v>829</v>
      </c>
      <c r="C16" s="32" t="s">
        <v>1265</v>
      </c>
      <c r="D16" s="33"/>
      <c r="E16" s="33"/>
      <c r="F16" s="32" t="s">
        <v>830</v>
      </c>
      <c r="G16" s="33"/>
    </row>
    <row r="17" spans="1:7" ht="64" x14ac:dyDescent="0.2">
      <c r="A17" s="33" t="s">
        <v>5</v>
      </c>
      <c r="B17" s="32" t="s">
        <v>831</v>
      </c>
      <c r="C17" s="32" t="s">
        <v>1266</v>
      </c>
      <c r="D17" s="33"/>
      <c r="E17" s="33"/>
      <c r="F17" s="32" t="s">
        <v>832</v>
      </c>
      <c r="G17" s="33"/>
    </row>
    <row r="18" spans="1:7" ht="64" x14ac:dyDescent="0.2">
      <c r="A18" s="33" t="s">
        <v>5</v>
      </c>
      <c r="B18" s="32" t="s">
        <v>833</v>
      </c>
      <c r="C18" s="32" t="s">
        <v>834</v>
      </c>
      <c r="D18" s="33"/>
      <c r="E18" s="33"/>
      <c r="F18" s="32" t="s">
        <v>835</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42" t="s">
        <v>1267</v>
      </c>
      <c r="B1" s="144"/>
      <c r="C1" s="144"/>
      <c r="D1" s="144"/>
      <c r="E1" s="144"/>
      <c r="F1" s="144"/>
      <c r="G1" s="144"/>
      <c r="H1" s="145"/>
    </row>
    <row r="2" spans="1:8" ht="14.5" customHeight="1" x14ac:dyDescent="0.2">
      <c r="A2" s="26" t="s">
        <v>0</v>
      </c>
      <c r="B2" s="26" t="s">
        <v>916</v>
      </c>
      <c r="C2" s="26" t="s">
        <v>1229</v>
      </c>
      <c r="D2" s="26" t="s">
        <v>2</v>
      </c>
      <c r="E2" s="4" t="s">
        <v>1230</v>
      </c>
      <c r="F2" s="4" t="s">
        <v>1231</v>
      </c>
      <c r="G2" s="133" t="s">
        <v>1129</v>
      </c>
      <c r="H2" s="26" t="s">
        <v>417</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42" t="s">
        <v>1059</v>
      </c>
      <c r="B1" s="144"/>
      <c r="C1" s="144"/>
      <c r="D1" s="144"/>
      <c r="E1" s="144"/>
      <c r="F1" s="145"/>
    </row>
    <row r="2" spans="1:6" x14ac:dyDescent="0.2">
      <c r="A2" s="26" t="s">
        <v>0</v>
      </c>
      <c r="B2" s="26" t="s">
        <v>1</v>
      </c>
      <c r="C2" s="26" t="s">
        <v>2</v>
      </c>
      <c r="D2" s="26" t="s">
        <v>917</v>
      </c>
      <c r="E2" s="26" t="s">
        <v>918</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42" t="s">
        <v>1612</v>
      </c>
      <c r="B1" s="142"/>
      <c r="C1" s="142"/>
      <c r="D1" s="142"/>
      <c r="E1" s="142"/>
      <c r="F1" s="142"/>
      <c r="G1" s="142"/>
      <c r="H1" s="142"/>
    </row>
    <row r="2" spans="1:9" s="40" customFormat="1" x14ac:dyDescent="0.2">
      <c r="A2" s="140" t="s">
        <v>0</v>
      </c>
      <c r="B2" s="140" t="s">
        <v>1</v>
      </c>
      <c r="C2" s="4" t="s">
        <v>6</v>
      </c>
      <c r="D2" s="4" t="s">
        <v>2</v>
      </c>
      <c r="E2" s="4" t="s">
        <v>7</v>
      </c>
      <c r="F2" s="4" t="s">
        <v>8</v>
      </c>
      <c r="G2" s="4" t="s">
        <v>9</v>
      </c>
      <c r="H2" s="26" t="s">
        <v>417</v>
      </c>
    </row>
    <row r="3" spans="1:9" ht="69.75" customHeight="1" x14ac:dyDescent="0.2">
      <c r="A3" s="32" t="s">
        <v>5</v>
      </c>
      <c r="B3" s="141" t="s">
        <v>625</v>
      </c>
      <c r="C3" s="32" t="s">
        <v>394</v>
      </c>
      <c r="D3" s="32" t="s">
        <v>626</v>
      </c>
      <c r="E3" s="32" t="s">
        <v>1268</v>
      </c>
      <c r="F3" s="32"/>
      <c r="G3" s="32"/>
      <c r="H3" s="32"/>
    </row>
    <row r="4" spans="1:9" ht="69.75" customHeight="1" x14ac:dyDescent="0.2">
      <c r="A4" s="32"/>
      <c r="B4" s="32"/>
      <c r="C4" s="32"/>
      <c r="D4" s="32"/>
      <c r="E4" s="32" t="s">
        <v>1269</v>
      </c>
      <c r="F4" s="32"/>
      <c r="G4" s="32"/>
      <c r="H4" s="32"/>
    </row>
    <row r="5" spans="1:9" ht="80" x14ac:dyDescent="0.2">
      <c r="A5" s="32" t="s">
        <v>5</v>
      </c>
      <c r="B5" s="32" t="s">
        <v>1613</v>
      </c>
      <c r="C5" s="32" t="s">
        <v>394</v>
      </c>
      <c r="D5" s="32" t="s">
        <v>1614</v>
      </c>
      <c r="E5" s="32" t="s">
        <v>1615</v>
      </c>
      <c r="F5" s="32"/>
      <c r="G5" s="32"/>
      <c r="H5" s="32" t="s">
        <v>1616</v>
      </c>
      <c r="I5" s="33"/>
    </row>
    <row r="6" spans="1:9" ht="32" x14ac:dyDescent="0.2">
      <c r="A6" s="32"/>
      <c r="B6" s="32"/>
      <c r="C6" s="32"/>
      <c r="D6" s="32"/>
      <c r="E6" s="32" t="s">
        <v>1617</v>
      </c>
      <c r="F6" s="32"/>
      <c r="G6" s="32"/>
      <c r="H6" s="32"/>
      <c r="I6" s="33"/>
    </row>
    <row r="7" spans="1:9" ht="32" x14ac:dyDescent="0.2">
      <c r="A7" s="32"/>
      <c r="B7" s="32"/>
      <c r="C7" s="32"/>
      <c r="D7" s="32"/>
      <c r="E7" s="32" t="s">
        <v>1618</v>
      </c>
      <c r="F7" s="32"/>
      <c r="G7" s="32"/>
      <c r="H7" s="32"/>
      <c r="I7" s="33"/>
    </row>
    <row r="8" spans="1:9" ht="102.75" customHeight="1" x14ac:dyDescent="0.2">
      <c r="A8" s="32" t="s">
        <v>5</v>
      </c>
      <c r="B8" s="141" t="s">
        <v>558</v>
      </c>
      <c r="C8" s="32" t="s">
        <v>394</v>
      </c>
      <c r="D8" s="32" t="s">
        <v>559</v>
      </c>
      <c r="E8" s="32" t="s">
        <v>1270</v>
      </c>
      <c r="F8" s="32"/>
      <c r="G8" s="32"/>
      <c r="H8" s="32"/>
    </row>
    <row r="9" spans="1:9" ht="29.25" customHeight="1" x14ac:dyDescent="0.2">
      <c r="A9" s="32"/>
      <c r="B9" s="32"/>
      <c r="C9" s="32"/>
      <c r="D9" s="32"/>
      <c r="E9" s="32" t="s">
        <v>1271</v>
      </c>
      <c r="F9" s="32"/>
      <c r="G9" s="32"/>
      <c r="H9" s="32"/>
    </row>
    <row r="10" spans="1:9" ht="29.25" customHeight="1" x14ac:dyDescent="0.2">
      <c r="A10" s="32"/>
      <c r="B10" s="32"/>
      <c r="C10" s="32"/>
      <c r="D10" s="32"/>
      <c r="E10" s="32" t="s">
        <v>1272</v>
      </c>
      <c r="F10" s="32"/>
      <c r="G10" s="32"/>
      <c r="H10" s="32"/>
    </row>
    <row r="11" spans="1:9" ht="29.25" customHeight="1" x14ac:dyDescent="0.2">
      <c r="A11" s="32"/>
      <c r="B11" s="32"/>
      <c r="C11" s="32"/>
      <c r="D11" s="32"/>
      <c r="E11" s="32" t="s">
        <v>1273</v>
      </c>
      <c r="F11" s="32"/>
      <c r="G11" s="32"/>
      <c r="H11" s="32"/>
    </row>
    <row r="12" spans="1:9" ht="29.25" customHeight="1" x14ac:dyDescent="0.2">
      <c r="A12" s="32"/>
      <c r="B12" s="32"/>
      <c r="C12" s="32"/>
      <c r="D12" s="32"/>
      <c r="E12" s="32" t="s">
        <v>1274</v>
      </c>
      <c r="F12" s="32"/>
      <c r="G12" s="32"/>
      <c r="H12" s="32"/>
    </row>
    <row r="13" spans="1:9" ht="29.25" customHeight="1" x14ac:dyDescent="0.2">
      <c r="A13" s="32"/>
      <c r="B13" s="32"/>
      <c r="C13" s="32"/>
      <c r="D13" s="32"/>
      <c r="E13" s="32" t="s">
        <v>1275</v>
      </c>
      <c r="F13" s="32"/>
      <c r="G13" s="32"/>
      <c r="H13" s="32"/>
    </row>
    <row r="14" spans="1:9" ht="29.25" customHeight="1" x14ac:dyDescent="0.2">
      <c r="A14" s="32"/>
      <c r="B14" s="32"/>
      <c r="C14" s="32"/>
      <c r="D14" s="32"/>
      <c r="E14" s="32" t="s">
        <v>1276</v>
      </c>
      <c r="F14" s="32"/>
      <c r="G14" s="32"/>
      <c r="H14" s="32"/>
    </row>
    <row r="15" spans="1:9" ht="29.25" customHeight="1" x14ac:dyDescent="0.2">
      <c r="A15" s="32"/>
      <c r="B15" s="32"/>
      <c r="C15" s="32"/>
      <c r="D15" s="32"/>
      <c r="E15" s="32" t="s">
        <v>1277</v>
      </c>
      <c r="F15" s="32"/>
      <c r="G15" s="32"/>
      <c r="H15" s="32"/>
    </row>
    <row r="16" spans="1:9" ht="29.25" customHeight="1" x14ac:dyDescent="0.2">
      <c r="A16" s="32"/>
      <c r="B16" s="32"/>
      <c r="C16" s="32"/>
      <c r="D16" s="32"/>
      <c r="E16" s="32" t="s">
        <v>1278</v>
      </c>
      <c r="F16" s="32"/>
      <c r="G16" s="32"/>
      <c r="H16" s="32"/>
    </row>
    <row r="17" spans="1:8" ht="29.25" customHeight="1" x14ac:dyDescent="0.2">
      <c r="A17" s="32"/>
      <c r="B17" s="32"/>
      <c r="C17" s="32"/>
      <c r="D17" s="32"/>
      <c r="E17" s="32" t="s">
        <v>1279</v>
      </c>
      <c r="F17" s="32"/>
      <c r="G17" s="32"/>
      <c r="H17" s="32"/>
    </row>
    <row r="18" spans="1:8" ht="80" x14ac:dyDescent="0.2">
      <c r="A18" s="32"/>
      <c r="B18" s="32"/>
      <c r="C18" s="32"/>
      <c r="D18" s="32"/>
      <c r="E18" s="32" t="s">
        <v>1280</v>
      </c>
      <c r="F18" s="32"/>
      <c r="G18" s="32"/>
      <c r="H18" s="32"/>
    </row>
    <row r="19" spans="1:8" ht="48" x14ac:dyDescent="0.2">
      <c r="A19" s="32"/>
      <c r="B19" s="32"/>
      <c r="C19" s="32"/>
      <c r="D19" s="32"/>
      <c r="E19" s="32" t="s">
        <v>1281</v>
      </c>
      <c r="F19" s="32"/>
      <c r="G19" s="32"/>
      <c r="H19" s="32"/>
    </row>
    <row r="20" spans="1:8" ht="112" x14ac:dyDescent="0.2">
      <c r="A20" s="32"/>
      <c r="B20" s="32"/>
      <c r="C20" s="32"/>
      <c r="D20" s="32"/>
      <c r="E20" s="32" t="s">
        <v>1282</v>
      </c>
      <c r="F20" s="32"/>
      <c r="G20" s="32"/>
      <c r="H20" s="32"/>
    </row>
    <row r="21" spans="1:8" ht="29.25" customHeight="1" x14ac:dyDescent="0.2">
      <c r="A21" s="32"/>
      <c r="B21" s="32"/>
      <c r="C21" s="32"/>
      <c r="D21" s="32"/>
      <c r="E21" s="32" t="s">
        <v>1283</v>
      </c>
      <c r="F21" s="32"/>
      <c r="G21" s="32"/>
      <c r="H21" s="32"/>
    </row>
    <row r="22" spans="1:8" ht="29.25" customHeight="1" x14ac:dyDescent="0.2">
      <c r="A22" s="32"/>
      <c r="B22" s="32"/>
      <c r="C22" s="32"/>
      <c r="D22" s="32"/>
      <c r="E22" s="32" t="s">
        <v>1284</v>
      </c>
      <c r="F22" s="32"/>
      <c r="G22" s="32"/>
      <c r="H22" s="32"/>
    </row>
    <row r="23" spans="1:8" ht="29.25" customHeight="1" x14ac:dyDescent="0.2">
      <c r="A23" s="32"/>
      <c r="B23" s="32"/>
      <c r="C23" s="32"/>
      <c r="D23" s="32"/>
      <c r="E23" s="32" t="s">
        <v>1285</v>
      </c>
      <c r="F23" s="32"/>
      <c r="G23" s="32"/>
      <c r="H23" s="32"/>
    </row>
    <row r="24" spans="1:8" ht="29.25" customHeight="1" x14ac:dyDescent="0.2">
      <c r="A24" s="32"/>
      <c r="B24" s="32"/>
      <c r="C24" s="32"/>
      <c r="D24" s="32"/>
      <c r="E24" s="32" t="s">
        <v>1286</v>
      </c>
      <c r="F24" s="32"/>
      <c r="G24" s="32"/>
      <c r="H24" s="32"/>
    </row>
    <row r="25" spans="1:8" ht="32" x14ac:dyDescent="0.2">
      <c r="A25" s="32"/>
      <c r="B25" s="32"/>
      <c r="C25" s="32"/>
      <c r="D25" s="32"/>
      <c r="E25" s="32" t="s">
        <v>1287</v>
      </c>
      <c r="F25" s="32"/>
      <c r="G25" s="32"/>
      <c r="H25" s="32"/>
    </row>
    <row r="26" spans="1:8" ht="29.25" customHeight="1" x14ac:dyDescent="0.2">
      <c r="A26" s="32"/>
      <c r="B26" s="32"/>
      <c r="C26" s="32"/>
      <c r="D26" s="32"/>
      <c r="E26" s="32" t="s">
        <v>1288</v>
      </c>
      <c r="F26" s="32"/>
      <c r="G26" s="32"/>
      <c r="H26" s="32"/>
    </row>
    <row r="27" spans="1:8" ht="29.25" customHeight="1" x14ac:dyDescent="0.2">
      <c r="A27" s="32"/>
      <c r="B27" s="32"/>
      <c r="C27" s="32"/>
      <c r="D27" s="32"/>
      <c r="E27" s="32" t="s">
        <v>1289</v>
      </c>
      <c r="F27" s="32"/>
      <c r="G27" s="32"/>
      <c r="H27" s="32"/>
    </row>
    <row r="28" spans="1:8" ht="29.25" customHeight="1" x14ac:dyDescent="0.2">
      <c r="A28" s="32"/>
      <c r="B28" s="32"/>
      <c r="C28" s="32"/>
      <c r="D28" s="32"/>
      <c r="E28" s="32" t="s">
        <v>1290</v>
      </c>
      <c r="F28" s="32"/>
      <c r="G28" s="32"/>
      <c r="H28" s="32"/>
    </row>
    <row r="29" spans="1:8" ht="29.25" customHeight="1" x14ac:dyDescent="0.2">
      <c r="A29" s="32"/>
      <c r="B29" s="32"/>
      <c r="C29" s="32"/>
      <c r="D29" s="32"/>
      <c r="E29" s="32" t="s">
        <v>1291</v>
      </c>
      <c r="F29" s="32"/>
      <c r="G29" s="32"/>
      <c r="H29" s="32"/>
    </row>
    <row r="30" spans="1:8" ht="29.25" customHeight="1" x14ac:dyDescent="0.2">
      <c r="A30" s="32"/>
      <c r="B30" s="32"/>
      <c r="C30" s="32"/>
      <c r="D30" s="32"/>
      <c r="E30" s="32" t="s">
        <v>1292</v>
      </c>
      <c r="F30" s="32"/>
      <c r="G30" s="32"/>
      <c r="H30" s="32"/>
    </row>
    <row r="31" spans="1:8" ht="29.25" customHeight="1" x14ac:dyDescent="0.2">
      <c r="A31" s="32"/>
      <c r="B31" s="32"/>
      <c r="C31" s="32"/>
      <c r="D31" s="32"/>
      <c r="E31" s="32" t="s">
        <v>1293</v>
      </c>
      <c r="F31" s="32"/>
      <c r="G31" s="32"/>
      <c r="H31" s="32"/>
    </row>
    <row r="32" spans="1:8" ht="32" x14ac:dyDescent="0.2">
      <c r="A32" s="32"/>
      <c r="B32" s="32"/>
      <c r="C32" s="32"/>
      <c r="D32" s="32"/>
      <c r="E32" s="32" t="s">
        <v>1294</v>
      </c>
      <c r="F32" s="32"/>
      <c r="G32" s="32"/>
      <c r="H32" s="32"/>
    </row>
    <row r="33" spans="1:8" ht="32" x14ac:dyDescent="0.2">
      <c r="A33" s="32"/>
      <c r="B33" s="32"/>
      <c r="C33" s="32"/>
      <c r="D33" s="32"/>
      <c r="E33" s="32" t="s">
        <v>1295</v>
      </c>
      <c r="F33" s="32"/>
      <c r="G33" s="32"/>
      <c r="H33" s="32"/>
    </row>
    <row r="34" spans="1:8" ht="29.25" customHeight="1" x14ac:dyDescent="0.2">
      <c r="A34" s="32"/>
      <c r="B34" s="32"/>
      <c r="C34" s="32"/>
      <c r="D34" s="32"/>
      <c r="E34" s="32" t="s">
        <v>1296</v>
      </c>
      <c r="F34" s="32"/>
      <c r="G34" s="32"/>
      <c r="H34" s="32"/>
    </row>
    <row r="35" spans="1:8" ht="29.25" customHeight="1" x14ac:dyDescent="0.2">
      <c r="A35" s="32"/>
      <c r="B35" s="32"/>
      <c r="C35" s="32"/>
      <c r="D35" s="32"/>
      <c r="E35" s="32" t="s">
        <v>1297</v>
      </c>
      <c r="F35" s="32"/>
      <c r="G35" s="32"/>
      <c r="H35" s="32"/>
    </row>
    <row r="36" spans="1:8" ht="29.25" customHeight="1" x14ac:dyDescent="0.2">
      <c r="A36" s="32"/>
      <c r="B36" s="32"/>
      <c r="C36" s="32"/>
      <c r="D36" s="32"/>
      <c r="E36" s="32" t="s">
        <v>1619</v>
      </c>
      <c r="F36" s="32"/>
      <c r="G36" s="32"/>
      <c r="H36" s="32"/>
    </row>
    <row r="37" spans="1:8" ht="29.25" customHeight="1" x14ac:dyDescent="0.2">
      <c r="A37" s="32"/>
      <c r="B37" s="32"/>
      <c r="C37" s="32"/>
      <c r="D37" s="32"/>
      <c r="E37" s="32" t="s">
        <v>1298</v>
      </c>
      <c r="F37" s="32"/>
      <c r="G37" s="32"/>
      <c r="H37" s="32"/>
    </row>
    <row r="38" spans="1:8" ht="32" x14ac:dyDescent="0.2">
      <c r="A38" s="32"/>
      <c r="B38" s="32"/>
      <c r="C38" s="32"/>
      <c r="D38" s="32"/>
      <c r="E38" s="32" t="s">
        <v>1299</v>
      </c>
      <c r="F38" s="32"/>
      <c r="G38" s="32"/>
      <c r="H38" s="32"/>
    </row>
    <row r="39" spans="1:8" ht="32" x14ac:dyDescent="0.2">
      <c r="A39" s="32"/>
      <c r="B39" s="32"/>
      <c r="C39" s="32"/>
      <c r="D39" s="32"/>
      <c r="E39" s="32" t="s">
        <v>1300</v>
      </c>
      <c r="F39" s="32"/>
      <c r="G39" s="32"/>
      <c r="H39" s="32"/>
    </row>
    <row r="40" spans="1:8" ht="32" x14ac:dyDescent="0.2">
      <c r="A40" s="32"/>
      <c r="B40" s="32"/>
      <c r="C40" s="32"/>
      <c r="D40" s="32"/>
      <c r="E40" s="32" t="s">
        <v>1301</v>
      </c>
      <c r="F40" s="32"/>
      <c r="G40" s="32"/>
      <c r="H40" s="32"/>
    </row>
    <row r="41" spans="1:8" ht="32" x14ac:dyDescent="0.2">
      <c r="A41" s="32"/>
      <c r="B41" s="32"/>
      <c r="C41" s="32"/>
      <c r="D41" s="32"/>
      <c r="E41" s="32" t="s">
        <v>1302</v>
      </c>
      <c r="F41" s="32"/>
      <c r="G41" s="32"/>
      <c r="H41" s="32"/>
    </row>
    <row r="42" spans="1:8" ht="32" x14ac:dyDescent="0.2">
      <c r="A42" s="32"/>
      <c r="B42" s="32"/>
      <c r="C42" s="32"/>
      <c r="D42" s="32"/>
      <c r="E42" s="32" t="s">
        <v>1303</v>
      </c>
      <c r="F42" s="32"/>
      <c r="G42" s="32"/>
      <c r="H42" s="32"/>
    </row>
    <row r="43" spans="1:8" ht="32" x14ac:dyDescent="0.2">
      <c r="A43" s="32"/>
      <c r="B43" s="32"/>
      <c r="C43" s="32"/>
      <c r="D43" s="32"/>
      <c r="E43" s="32" t="s">
        <v>1304</v>
      </c>
      <c r="F43" s="32"/>
      <c r="G43" s="32"/>
      <c r="H43" s="32"/>
    </row>
    <row r="44" spans="1:8" ht="32" x14ac:dyDescent="0.2">
      <c r="A44" s="32"/>
      <c r="B44" s="32"/>
      <c r="C44" s="32"/>
      <c r="D44" s="32"/>
      <c r="E44" s="32" t="s">
        <v>1305</v>
      </c>
      <c r="F44" s="32"/>
      <c r="G44" s="32"/>
      <c r="H44" s="32"/>
    </row>
    <row r="45" spans="1:8" ht="32" x14ac:dyDescent="0.2">
      <c r="A45" s="32"/>
      <c r="B45" s="32"/>
      <c r="C45" s="32"/>
      <c r="D45" s="32"/>
      <c r="E45" s="32" t="s">
        <v>1306</v>
      </c>
      <c r="F45" s="32"/>
      <c r="G45" s="32"/>
      <c r="H45" s="32"/>
    </row>
    <row r="46" spans="1:8" ht="32" x14ac:dyDescent="0.2">
      <c r="A46" s="32"/>
      <c r="B46" s="32"/>
      <c r="C46" s="32"/>
      <c r="D46" s="32"/>
      <c r="E46" s="32" t="s">
        <v>1307</v>
      </c>
      <c r="F46" s="32"/>
      <c r="G46" s="32"/>
      <c r="H46" s="32"/>
    </row>
    <row r="47" spans="1:8" ht="32" x14ac:dyDescent="0.2">
      <c r="A47" s="32"/>
      <c r="B47" s="32"/>
      <c r="C47" s="32"/>
      <c r="D47" s="32"/>
      <c r="E47" s="32" t="s">
        <v>1308</v>
      </c>
      <c r="F47" s="32"/>
      <c r="G47" s="32"/>
      <c r="H47" s="32"/>
    </row>
    <row r="48" spans="1:8" ht="32" x14ac:dyDescent="0.2">
      <c r="A48" s="32"/>
      <c r="B48" s="32"/>
      <c r="C48" s="32"/>
      <c r="D48" s="32"/>
      <c r="E48" s="32" t="s">
        <v>1309</v>
      </c>
      <c r="F48" s="32"/>
      <c r="G48" s="32"/>
      <c r="H48" s="32"/>
    </row>
    <row r="49" spans="1:8" ht="16" x14ac:dyDescent="0.2">
      <c r="A49" s="32"/>
      <c r="B49" s="32"/>
      <c r="C49" s="32"/>
      <c r="D49" s="32"/>
      <c r="E49" s="32" t="s">
        <v>1310</v>
      </c>
      <c r="F49" s="32"/>
      <c r="G49" s="32"/>
      <c r="H49" s="32"/>
    </row>
    <row r="50" spans="1:8" ht="16" x14ac:dyDescent="0.2">
      <c r="A50" s="32"/>
      <c r="B50" s="32"/>
      <c r="C50" s="32"/>
      <c r="D50" s="32"/>
      <c r="E50" s="32" t="s">
        <v>1311</v>
      </c>
      <c r="F50" s="32"/>
      <c r="G50" s="32"/>
      <c r="H50" s="32"/>
    </row>
    <row r="51" spans="1:8" ht="43.5" customHeight="1" x14ac:dyDescent="0.2">
      <c r="A51" s="32" t="s">
        <v>5</v>
      </c>
      <c r="B51" s="141" t="s">
        <v>560</v>
      </c>
      <c r="C51" s="32" t="s">
        <v>394</v>
      </c>
      <c r="D51" s="32" t="s">
        <v>561</v>
      </c>
      <c r="E51" s="32" t="s">
        <v>1312</v>
      </c>
      <c r="F51" s="32"/>
      <c r="G51" s="32"/>
      <c r="H51" s="32"/>
    </row>
    <row r="52" spans="1:8" ht="16" x14ac:dyDescent="0.2">
      <c r="A52" s="32"/>
      <c r="B52" s="32"/>
      <c r="C52" s="32"/>
      <c r="D52" s="32"/>
      <c r="E52" s="32" t="s">
        <v>1313</v>
      </c>
      <c r="F52" s="32"/>
      <c r="G52" s="32"/>
      <c r="H52" s="32"/>
    </row>
    <row r="53" spans="1:8" ht="16" x14ac:dyDescent="0.2">
      <c r="A53" s="32"/>
      <c r="B53" s="32"/>
      <c r="C53" s="32"/>
      <c r="D53" s="32"/>
      <c r="E53" s="32" t="s">
        <v>1314</v>
      </c>
      <c r="F53" s="32"/>
      <c r="G53" s="32"/>
      <c r="H53" s="32"/>
    </row>
    <row r="54" spans="1:8" ht="16" x14ac:dyDescent="0.2">
      <c r="A54" s="32"/>
      <c r="B54" s="32"/>
      <c r="C54" s="32"/>
      <c r="D54" s="32"/>
      <c r="E54" s="32" t="s">
        <v>1315</v>
      </c>
      <c r="F54" s="32"/>
      <c r="G54" s="32"/>
      <c r="H54" s="32"/>
    </row>
    <row r="55" spans="1:8" ht="16" x14ac:dyDescent="0.2">
      <c r="A55" s="32"/>
      <c r="B55" s="32"/>
      <c r="C55" s="32"/>
      <c r="D55" s="32"/>
      <c r="E55" s="32" t="s">
        <v>1316</v>
      </c>
      <c r="F55" s="32"/>
      <c r="G55" s="32"/>
      <c r="H55" s="32"/>
    </row>
    <row r="56" spans="1:8" ht="16" x14ac:dyDescent="0.2">
      <c r="A56" s="32"/>
      <c r="B56" s="32"/>
      <c r="C56" s="32"/>
      <c r="D56" s="32"/>
      <c r="E56" s="32" t="s">
        <v>1317</v>
      </c>
      <c r="F56" s="32"/>
      <c r="G56" s="32"/>
      <c r="H56" s="32"/>
    </row>
    <row r="57" spans="1:8" ht="16" x14ac:dyDescent="0.2">
      <c r="A57" s="32"/>
      <c r="B57" s="32"/>
      <c r="C57" s="32"/>
      <c r="D57" s="32"/>
      <c r="E57" s="32" t="s">
        <v>1318</v>
      </c>
      <c r="F57" s="32"/>
      <c r="G57" s="32"/>
      <c r="H57" s="32"/>
    </row>
    <row r="58" spans="1:8" ht="29.25" customHeight="1" x14ac:dyDescent="0.2">
      <c r="A58" s="32"/>
      <c r="B58" s="32"/>
      <c r="C58" s="32"/>
      <c r="D58" s="32"/>
      <c r="E58" s="32" t="s">
        <v>1319</v>
      </c>
      <c r="F58" s="32"/>
      <c r="G58" s="32"/>
      <c r="H58" s="32"/>
    </row>
    <row r="59" spans="1:8" ht="29.25" customHeight="1" x14ac:dyDescent="0.2">
      <c r="A59" s="32"/>
      <c r="B59" s="32"/>
      <c r="C59" s="32"/>
      <c r="D59" s="32"/>
      <c r="E59" s="32" t="s">
        <v>1320</v>
      </c>
      <c r="F59" s="32"/>
      <c r="G59" s="32"/>
      <c r="H59" s="32"/>
    </row>
    <row r="60" spans="1:8" ht="29.25" customHeight="1" x14ac:dyDescent="0.2">
      <c r="A60" s="32"/>
      <c r="B60" s="32"/>
      <c r="C60" s="32"/>
      <c r="D60" s="32"/>
      <c r="E60" s="32" t="s">
        <v>1321</v>
      </c>
      <c r="F60" s="32"/>
      <c r="G60" s="32"/>
      <c r="H60" s="32"/>
    </row>
    <row r="61" spans="1:8" ht="29.25" customHeight="1" x14ac:dyDescent="0.2">
      <c r="A61" s="32"/>
      <c r="B61" s="32"/>
      <c r="C61" s="32"/>
      <c r="D61" s="32"/>
      <c r="E61" s="32" t="s">
        <v>1322</v>
      </c>
      <c r="F61" s="32"/>
      <c r="G61" s="32"/>
      <c r="H61" s="32"/>
    </row>
    <row r="62" spans="1:8" ht="16" x14ac:dyDescent="0.2">
      <c r="A62" s="32"/>
      <c r="B62" s="32"/>
      <c r="C62" s="32"/>
      <c r="D62" s="32"/>
      <c r="E62" s="32" t="s">
        <v>1323</v>
      </c>
      <c r="F62" s="32"/>
      <c r="G62" s="32"/>
      <c r="H62" s="32"/>
    </row>
    <row r="63" spans="1:8" ht="16" x14ac:dyDescent="0.2">
      <c r="A63" s="32"/>
      <c r="B63" s="32"/>
      <c r="C63" s="32"/>
      <c r="D63" s="32"/>
      <c r="E63" s="32" t="s">
        <v>1324</v>
      </c>
      <c r="F63" s="32"/>
      <c r="G63" s="32"/>
      <c r="H63" s="32"/>
    </row>
    <row r="64" spans="1:8" ht="16" x14ac:dyDescent="0.2">
      <c r="A64" s="32"/>
      <c r="B64" s="32"/>
      <c r="C64" s="32"/>
      <c r="D64" s="32"/>
      <c r="E64" s="32" t="s">
        <v>1325</v>
      </c>
      <c r="F64" s="32"/>
      <c r="G64" s="32"/>
      <c r="H64" s="32"/>
    </row>
    <row r="65" spans="1:8" ht="16" x14ac:dyDescent="0.2">
      <c r="A65" s="32"/>
      <c r="B65" s="32"/>
      <c r="C65" s="32"/>
      <c r="D65" s="32"/>
      <c r="E65" s="32" t="s">
        <v>1326</v>
      </c>
      <c r="F65" s="32"/>
      <c r="G65" s="32"/>
      <c r="H65" s="32"/>
    </row>
    <row r="66" spans="1:8" ht="16" x14ac:dyDescent="0.2">
      <c r="A66" s="32"/>
      <c r="B66" s="32"/>
      <c r="C66" s="32"/>
      <c r="D66" s="32"/>
      <c r="E66" s="32" t="s">
        <v>1327</v>
      </c>
      <c r="F66" s="32"/>
      <c r="G66" s="32"/>
      <c r="H66" s="32"/>
    </row>
    <row r="67" spans="1:8" ht="16" x14ac:dyDescent="0.2">
      <c r="A67" s="32"/>
      <c r="B67" s="32"/>
      <c r="C67" s="32"/>
      <c r="D67" s="32"/>
      <c r="E67" s="32" t="s">
        <v>1328</v>
      </c>
      <c r="F67" s="32"/>
      <c r="G67" s="32"/>
      <c r="H67" s="32"/>
    </row>
    <row r="68" spans="1:8" ht="16" x14ac:dyDescent="0.2">
      <c r="A68" s="32"/>
      <c r="B68" s="32"/>
      <c r="C68" s="32"/>
      <c r="D68" s="32"/>
      <c r="E68" s="32" t="s">
        <v>1620</v>
      </c>
      <c r="F68" s="32"/>
      <c r="G68" s="32"/>
      <c r="H68" s="32"/>
    </row>
    <row r="69" spans="1:8" ht="16" x14ac:dyDescent="0.2">
      <c r="A69" s="32"/>
      <c r="B69" s="32"/>
      <c r="C69" s="32"/>
      <c r="D69" s="32"/>
      <c r="E69" s="32" t="s">
        <v>1621</v>
      </c>
      <c r="F69" s="32"/>
      <c r="G69" s="32"/>
      <c r="H69" s="32"/>
    </row>
    <row r="70" spans="1:8" ht="16" x14ac:dyDescent="0.2">
      <c r="A70" s="32"/>
      <c r="B70" s="32"/>
      <c r="C70" s="32"/>
      <c r="D70" s="32"/>
      <c r="E70" s="32" t="s">
        <v>1622</v>
      </c>
      <c r="F70" s="32"/>
      <c r="G70" s="32"/>
      <c r="H70" s="32"/>
    </row>
    <row r="71" spans="1:8" ht="16" x14ac:dyDescent="0.2">
      <c r="A71" s="32"/>
      <c r="B71" s="32"/>
      <c r="C71" s="32"/>
      <c r="D71" s="32"/>
      <c r="E71" s="32" t="s">
        <v>1623</v>
      </c>
      <c r="F71" s="32"/>
      <c r="G71" s="32"/>
      <c r="H71" s="32"/>
    </row>
    <row r="72" spans="1:8" ht="48" x14ac:dyDescent="0.2">
      <c r="A72" s="32"/>
      <c r="B72" s="32"/>
      <c r="C72" s="32"/>
      <c r="D72" s="32"/>
      <c r="E72" s="32" t="s">
        <v>1624</v>
      </c>
      <c r="F72" s="32"/>
      <c r="G72" s="32"/>
      <c r="H72" s="32"/>
    </row>
    <row r="73" spans="1:8" ht="16" x14ac:dyDescent="0.2">
      <c r="A73" s="32"/>
      <c r="B73" s="32"/>
      <c r="C73" s="32"/>
      <c r="D73" s="32"/>
      <c r="E73" s="32" t="s">
        <v>1625</v>
      </c>
      <c r="F73" s="32"/>
      <c r="G73" s="32"/>
      <c r="H73" s="32"/>
    </row>
    <row r="74" spans="1:8" ht="16" x14ac:dyDescent="0.2">
      <c r="A74" s="32"/>
      <c r="B74" s="32"/>
      <c r="C74" s="32"/>
      <c r="D74" s="32"/>
      <c r="E74" s="32" t="s">
        <v>1626</v>
      </c>
      <c r="F74" s="32"/>
      <c r="G74" s="32"/>
      <c r="H74" s="32"/>
    </row>
    <row r="75" spans="1:8" ht="32" x14ac:dyDescent="0.2">
      <c r="A75" s="32"/>
      <c r="B75" s="32"/>
      <c r="C75" s="32"/>
      <c r="D75" s="32"/>
      <c r="E75" s="32" t="s">
        <v>1627</v>
      </c>
      <c r="F75" s="32"/>
      <c r="G75" s="32"/>
      <c r="H75" s="32"/>
    </row>
    <row r="76" spans="1:8" ht="32" x14ac:dyDescent="0.2">
      <c r="A76" s="32"/>
      <c r="B76" s="32"/>
      <c r="C76" s="32"/>
      <c r="D76" s="32"/>
      <c r="E76" s="32" t="s">
        <v>1628</v>
      </c>
      <c r="F76" s="32"/>
      <c r="G76" s="32"/>
      <c r="H76" s="32"/>
    </row>
    <row r="77" spans="1:8" ht="16" x14ac:dyDescent="0.2">
      <c r="A77" s="32"/>
      <c r="B77" s="32"/>
      <c r="C77" s="32"/>
      <c r="D77" s="32"/>
      <c r="E77" s="32" t="s">
        <v>1629</v>
      </c>
      <c r="F77" s="32"/>
      <c r="G77" s="32"/>
      <c r="H77" s="32"/>
    </row>
    <row r="78" spans="1:8" ht="48" x14ac:dyDescent="0.2">
      <c r="A78" s="32" t="s">
        <v>5</v>
      </c>
      <c r="B78" s="32" t="s">
        <v>1066</v>
      </c>
      <c r="C78" s="32" t="s">
        <v>394</v>
      </c>
      <c r="D78" s="32" t="s">
        <v>1067</v>
      </c>
      <c r="E78" s="135" t="s">
        <v>1329</v>
      </c>
      <c r="F78" s="32"/>
      <c r="G78" s="32"/>
      <c r="H78" s="32"/>
    </row>
    <row r="79" spans="1:8" ht="48" x14ac:dyDescent="0.2">
      <c r="A79" s="32"/>
      <c r="B79" s="32"/>
      <c r="C79" s="32"/>
      <c r="D79" s="32"/>
      <c r="E79" s="32" t="s">
        <v>1330</v>
      </c>
      <c r="F79" s="32"/>
      <c r="G79" s="32"/>
      <c r="H79" s="32"/>
    </row>
    <row r="80" spans="1:8" ht="48" x14ac:dyDescent="0.2">
      <c r="A80" s="32"/>
      <c r="B80" s="32"/>
      <c r="C80" s="32"/>
      <c r="D80" s="32"/>
      <c r="E80" s="32" t="s">
        <v>1331</v>
      </c>
      <c r="F80" s="32"/>
      <c r="G80" s="32"/>
      <c r="H80" s="32"/>
    </row>
    <row r="81" spans="1:8" ht="64" x14ac:dyDescent="0.2">
      <c r="A81" s="32"/>
      <c r="B81" s="32"/>
      <c r="C81" s="32"/>
      <c r="D81" s="32"/>
      <c r="E81" s="32" t="s">
        <v>1332</v>
      </c>
      <c r="F81" s="32"/>
      <c r="G81" s="32"/>
      <c r="H81" s="32"/>
    </row>
    <row r="82" spans="1:8" ht="32" x14ac:dyDescent="0.2">
      <c r="A82" s="32" t="s">
        <v>5</v>
      </c>
      <c r="B82" s="32" t="s">
        <v>643</v>
      </c>
      <c r="C82" s="32" t="s">
        <v>394</v>
      </c>
      <c r="D82" s="32" t="s">
        <v>910</v>
      </c>
      <c r="E82" s="32" t="s">
        <v>1333</v>
      </c>
      <c r="F82" s="32"/>
      <c r="G82" s="32"/>
      <c r="H82" s="32"/>
    </row>
    <row r="83" spans="1:8" ht="16" x14ac:dyDescent="0.2">
      <c r="A83" s="32"/>
      <c r="B83" s="32"/>
      <c r="C83" s="32"/>
      <c r="D83" s="32"/>
      <c r="E83" s="32" t="s">
        <v>1334</v>
      </c>
      <c r="F83" s="32"/>
      <c r="G83" s="32"/>
      <c r="H83" s="32"/>
    </row>
    <row r="84" spans="1:8" ht="208" x14ac:dyDescent="0.2">
      <c r="A84" s="32"/>
      <c r="B84" s="32"/>
      <c r="C84" s="32"/>
      <c r="D84" s="32"/>
      <c r="E84" s="32" t="s">
        <v>1335</v>
      </c>
      <c r="F84" s="32"/>
      <c r="G84" s="32"/>
      <c r="H84" s="32"/>
    </row>
    <row r="85" spans="1:8" ht="16" x14ac:dyDescent="0.2">
      <c r="A85" s="32"/>
      <c r="B85" s="32"/>
      <c r="C85" s="32"/>
      <c r="D85" s="32"/>
      <c r="E85" s="32" t="s">
        <v>1336</v>
      </c>
      <c r="F85" s="32"/>
      <c r="G85" s="32"/>
      <c r="H85" s="32"/>
    </row>
    <row r="86" spans="1:8" ht="64" x14ac:dyDescent="0.2">
      <c r="A86" s="32" t="s">
        <v>5</v>
      </c>
      <c r="B86" s="32" t="s">
        <v>909</v>
      </c>
      <c r="C86" s="32" t="s">
        <v>394</v>
      </c>
      <c r="D86" s="32" t="s">
        <v>836</v>
      </c>
      <c r="E86" s="32" t="s">
        <v>1337</v>
      </c>
      <c r="F86" s="32"/>
      <c r="G86" s="32"/>
      <c r="H86" s="32"/>
    </row>
    <row r="87" spans="1:8" ht="29.25" customHeight="1" x14ac:dyDescent="0.2">
      <c r="A87" s="32"/>
      <c r="B87" s="32"/>
      <c r="C87" s="32"/>
      <c r="D87" s="32"/>
      <c r="E87" s="32" t="s">
        <v>1338</v>
      </c>
      <c r="F87" s="32"/>
      <c r="G87" s="32"/>
      <c r="H87" s="32"/>
    </row>
    <row r="88" spans="1:8" ht="29.25" customHeight="1" x14ac:dyDescent="0.2">
      <c r="A88" s="32"/>
      <c r="B88" s="32"/>
      <c r="C88" s="32"/>
      <c r="D88" s="32"/>
      <c r="E88" s="32" t="s">
        <v>1060</v>
      </c>
      <c r="F88" s="32"/>
      <c r="G88" s="32"/>
      <c r="H88" s="32"/>
    </row>
    <row r="89" spans="1:8" ht="29.25" customHeight="1" x14ac:dyDescent="0.2">
      <c r="A89" s="32"/>
      <c r="B89" s="32"/>
      <c r="C89" s="32"/>
      <c r="D89" s="32"/>
      <c r="E89" s="32" t="s">
        <v>1061</v>
      </c>
      <c r="F89" s="32"/>
      <c r="G89" s="32"/>
      <c r="H89" s="32"/>
    </row>
    <row r="90" spans="1:8" ht="29.25" customHeight="1" x14ac:dyDescent="0.2">
      <c r="A90" s="32"/>
      <c r="B90" s="32"/>
      <c r="C90" s="32"/>
      <c r="D90" s="32"/>
      <c r="E90" s="32" t="s">
        <v>1062</v>
      </c>
      <c r="F90" s="32"/>
      <c r="G90" s="32"/>
      <c r="H90" s="32"/>
    </row>
    <row r="91" spans="1:8" ht="29.25" customHeight="1" x14ac:dyDescent="0.2">
      <c r="A91" s="32"/>
      <c r="B91" s="32"/>
      <c r="C91" s="32"/>
      <c r="D91" s="32"/>
      <c r="E91" s="32" t="s">
        <v>1063</v>
      </c>
      <c r="F91" s="32"/>
      <c r="G91" s="32"/>
      <c r="H91" s="32"/>
    </row>
    <row r="92" spans="1:8" ht="29.25" customHeight="1" x14ac:dyDescent="0.2">
      <c r="A92" s="32"/>
      <c r="B92" s="32"/>
      <c r="C92" s="32"/>
      <c r="D92" s="32"/>
      <c r="E92" s="32" t="s">
        <v>1064</v>
      </c>
      <c r="F92" s="32"/>
      <c r="G92" s="32"/>
      <c r="H92" s="32"/>
    </row>
    <row r="93" spans="1:8" ht="16" x14ac:dyDescent="0.2">
      <c r="A93" s="32"/>
      <c r="B93" s="32"/>
      <c r="C93" s="32"/>
      <c r="D93" s="32"/>
      <c r="E93" s="32" t="s">
        <v>1339</v>
      </c>
      <c r="F93" s="32"/>
      <c r="G93" s="32"/>
      <c r="H93" s="32"/>
    </row>
    <row r="94" spans="1:8" ht="32" x14ac:dyDescent="0.2">
      <c r="A94" s="32"/>
      <c r="B94" s="32"/>
      <c r="C94" s="32"/>
      <c r="D94" s="32"/>
      <c r="E94" s="32" t="s">
        <v>1065</v>
      </c>
      <c r="F94" s="108"/>
      <c r="G94" s="32"/>
      <c r="H94" s="32"/>
    </row>
    <row r="95" spans="1:8" ht="87" customHeight="1" x14ac:dyDescent="0.2">
      <c r="A95" s="32" t="s">
        <v>5</v>
      </c>
      <c r="B95" s="141" t="s">
        <v>562</v>
      </c>
      <c r="C95" s="32" t="s">
        <v>394</v>
      </c>
      <c r="D95" s="32" t="s">
        <v>837</v>
      </c>
      <c r="E95" s="32" t="s">
        <v>1340</v>
      </c>
      <c r="F95" s="32"/>
      <c r="G95" s="32"/>
      <c r="H95" s="32"/>
    </row>
    <row r="96" spans="1:8" ht="29.25" customHeight="1" x14ac:dyDescent="0.2">
      <c r="A96" s="32"/>
      <c r="B96" s="32"/>
      <c r="C96" s="32"/>
      <c r="D96" s="32"/>
      <c r="E96" s="32" t="s">
        <v>1341</v>
      </c>
      <c r="F96" s="32"/>
      <c r="G96" s="32"/>
      <c r="H96" s="32"/>
    </row>
    <row r="97" spans="1:8" ht="29.25" customHeight="1" x14ac:dyDescent="0.2">
      <c r="A97" s="32"/>
      <c r="B97" s="32"/>
      <c r="C97" s="32"/>
      <c r="D97" s="32"/>
      <c r="E97" s="32" t="s">
        <v>1342</v>
      </c>
      <c r="F97" s="32"/>
      <c r="G97" s="32"/>
      <c r="H97" s="32"/>
    </row>
    <row r="98" spans="1:8" ht="29.25" customHeight="1" x14ac:dyDescent="0.2">
      <c r="A98" s="32"/>
      <c r="B98" s="32"/>
      <c r="C98" s="32"/>
      <c r="D98" s="32"/>
      <c r="E98" s="29" t="s">
        <v>1343</v>
      </c>
      <c r="F98" s="32"/>
      <c r="G98" s="32"/>
      <c r="H98" s="32"/>
    </row>
    <row r="99" spans="1:8" ht="29.25" customHeight="1" x14ac:dyDescent="0.2">
      <c r="A99" s="32"/>
      <c r="B99" s="32"/>
      <c r="C99" s="32"/>
      <c r="D99" s="32"/>
      <c r="E99" s="29" t="s">
        <v>1344</v>
      </c>
      <c r="F99" s="32"/>
      <c r="G99" s="32"/>
      <c r="H99" s="32"/>
    </row>
    <row r="100" spans="1:8" ht="29.25" customHeight="1" x14ac:dyDescent="0.2">
      <c r="A100" s="32"/>
      <c r="B100" s="32"/>
      <c r="C100" s="32"/>
      <c r="D100" s="32"/>
      <c r="E100" s="29" t="s">
        <v>1345</v>
      </c>
      <c r="F100" s="32"/>
      <c r="G100" s="32"/>
      <c r="H100" s="32"/>
    </row>
    <row r="101" spans="1:8" ht="29.25" customHeight="1" x14ac:dyDescent="0.2">
      <c r="A101" s="32"/>
      <c r="B101" s="32"/>
      <c r="C101" s="32"/>
      <c r="D101" s="32"/>
      <c r="E101" s="29" t="s">
        <v>1346</v>
      </c>
      <c r="F101" s="32"/>
      <c r="G101" s="32"/>
      <c r="H101" s="32"/>
    </row>
    <row r="102" spans="1:8" ht="32" x14ac:dyDescent="0.2">
      <c r="A102" s="32"/>
      <c r="B102" s="32"/>
      <c r="C102" s="32"/>
      <c r="D102" s="32"/>
      <c r="E102" s="29" t="s">
        <v>1347</v>
      </c>
      <c r="F102" s="32"/>
      <c r="G102" s="32"/>
      <c r="H102" s="32"/>
    </row>
    <row r="103" spans="1:8" ht="29.25" customHeight="1" x14ac:dyDescent="0.2">
      <c r="A103" s="32"/>
      <c r="B103" s="32"/>
      <c r="C103" s="32"/>
      <c r="D103" s="32"/>
      <c r="E103" s="29" t="s">
        <v>1348</v>
      </c>
      <c r="F103" s="32"/>
      <c r="G103" s="32"/>
      <c r="H103" s="32"/>
    </row>
    <row r="104" spans="1:8" ht="29.25" customHeight="1" x14ac:dyDescent="0.2">
      <c r="A104" s="32"/>
      <c r="B104" s="32"/>
      <c r="C104" s="32"/>
      <c r="D104" s="32"/>
      <c r="E104" s="29" t="s">
        <v>1349</v>
      </c>
      <c r="F104" s="32"/>
      <c r="G104" s="32"/>
      <c r="H104" s="32"/>
    </row>
    <row r="105" spans="1:8" ht="80" x14ac:dyDescent="0.2">
      <c r="A105" s="32"/>
      <c r="B105" s="32"/>
      <c r="C105" s="32"/>
      <c r="D105" s="32"/>
      <c r="E105" s="29" t="s">
        <v>1350</v>
      </c>
      <c r="F105" s="32"/>
      <c r="G105" s="32"/>
      <c r="H105" s="32"/>
    </row>
    <row r="106" spans="1:8" ht="112" x14ac:dyDescent="0.2">
      <c r="A106" s="32"/>
      <c r="B106" s="32"/>
      <c r="C106" s="32"/>
      <c r="D106" s="32"/>
      <c r="E106" s="29" t="s">
        <v>1351</v>
      </c>
      <c r="F106" s="32"/>
      <c r="G106" s="32"/>
      <c r="H106" s="32"/>
    </row>
    <row r="107" spans="1:8" ht="29.25" customHeight="1" x14ac:dyDescent="0.2">
      <c r="A107" s="32"/>
      <c r="B107" s="32"/>
      <c r="C107" s="32"/>
      <c r="D107" s="32"/>
      <c r="E107" s="29" t="s">
        <v>1352</v>
      </c>
      <c r="F107" s="32"/>
      <c r="G107" s="32"/>
      <c r="H107" s="32"/>
    </row>
    <row r="108" spans="1:8" ht="29.25" customHeight="1" x14ac:dyDescent="0.2">
      <c r="A108" s="32"/>
      <c r="B108" s="32"/>
      <c r="C108" s="32"/>
      <c r="D108" s="32"/>
      <c r="E108" s="29" t="s">
        <v>1353</v>
      </c>
      <c r="F108" s="32"/>
      <c r="G108" s="32"/>
      <c r="H108" s="32"/>
    </row>
    <row r="109" spans="1:8" ht="29.25" customHeight="1" x14ac:dyDescent="0.2">
      <c r="A109" s="32"/>
      <c r="B109" s="32"/>
      <c r="C109" s="32"/>
      <c r="D109" s="32"/>
      <c r="E109" s="29" t="s">
        <v>1354</v>
      </c>
      <c r="F109" s="32"/>
      <c r="G109" s="32"/>
      <c r="H109" s="32"/>
    </row>
    <row r="110" spans="1:8" ht="29.25" customHeight="1" x14ac:dyDescent="0.2">
      <c r="A110" s="32"/>
      <c r="B110" s="32"/>
      <c r="C110" s="32"/>
      <c r="D110" s="32"/>
      <c r="E110" s="29" t="s">
        <v>1355</v>
      </c>
      <c r="F110" s="32"/>
      <c r="G110" s="32"/>
      <c r="H110" s="32"/>
    </row>
    <row r="111" spans="1:8" ht="29.25" customHeight="1" x14ac:dyDescent="0.2">
      <c r="A111" s="32"/>
      <c r="B111" s="32"/>
      <c r="C111" s="32"/>
      <c r="D111" s="32"/>
      <c r="E111" s="29" t="s">
        <v>1356</v>
      </c>
      <c r="F111" s="32"/>
      <c r="G111" s="32"/>
      <c r="H111" s="32"/>
    </row>
    <row r="112" spans="1:8" ht="29.25" customHeight="1" x14ac:dyDescent="0.2">
      <c r="A112" s="32"/>
      <c r="B112" s="32"/>
      <c r="C112" s="32"/>
      <c r="D112" s="32"/>
      <c r="E112" s="29" t="s">
        <v>1357</v>
      </c>
      <c r="F112" s="32"/>
      <c r="G112" s="32"/>
      <c r="H112" s="32"/>
    </row>
    <row r="113" spans="1:8" ht="32" x14ac:dyDescent="0.2">
      <c r="A113" s="32"/>
      <c r="B113" s="32"/>
      <c r="C113" s="32"/>
      <c r="D113" s="32"/>
      <c r="E113" s="29" t="s">
        <v>1358</v>
      </c>
      <c r="F113" s="32"/>
      <c r="G113" s="32"/>
      <c r="H113" s="32"/>
    </row>
    <row r="114" spans="1:8" ht="32" x14ac:dyDescent="0.2">
      <c r="A114" s="32"/>
      <c r="B114" s="32"/>
      <c r="C114" s="32"/>
      <c r="D114" s="32"/>
      <c r="E114" s="29" t="s">
        <v>1359</v>
      </c>
      <c r="F114" s="32"/>
      <c r="G114" s="32"/>
      <c r="H114" s="32"/>
    </row>
    <row r="115" spans="1:8" ht="32" x14ac:dyDescent="0.2">
      <c r="A115" s="32"/>
      <c r="B115" s="32"/>
      <c r="C115" s="32"/>
      <c r="D115" s="32"/>
      <c r="E115" s="29" t="s">
        <v>1360</v>
      </c>
      <c r="F115" s="32"/>
      <c r="G115" s="32"/>
      <c r="H115" s="32"/>
    </row>
    <row r="116" spans="1:8" ht="32" x14ac:dyDescent="0.2">
      <c r="A116" s="32"/>
      <c r="B116" s="32"/>
      <c r="C116" s="32"/>
      <c r="D116" s="32"/>
      <c r="E116" s="29" t="s">
        <v>1361</v>
      </c>
      <c r="F116" s="32"/>
      <c r="G116" s="32"/>
      <c r="H116" s="32"/>
    </row>
    <row r="117" spans="1:8" ht="32" x14ac:dyDescent="0.2">
      <c r="A117" s="32"/>
      <c r="B117" s="32"/>
      <c r="C117" s="32"/>
      <c r="D117" s="32"/>
      <c r="E117" s="29" t="s">
        <v>1362</v>
      </c>
      <c r="F117" s="32"/>
      <c r="G117" s="32"/>
      <c r="H117" s="32"/>
    </row>
    <row r="118" spans="1:8" ht="32" x14ac:dyDescent="0.2">
      <c r="A118" s="32"/>
      <c r="B118" s="32"/>
      <c r="C118" s="32"/>
      <c r="D118" s="32"/>
      <c r="E118" s="29" t="s">
        <v>1363</v>
      </c>
      <c r="F118" s="32"/>
      <c r="G118" s="32"/>
      <c r="H118" s="32"/>
    </row>
    <row r="119" spans="1:8" ht="32" x14ac:dyDescent="0.2">
      <c r="A119" s="32"/>
      <c r="B119" s="32"/>
      <c r="C119" s="32"/>
      <c r="D119" s="32"/>
      <c r="E119" s="29" t="s">
        <v>1364</v>
      </c>
      <c r="F119" s="32"/>
      <c r="G119" s="32"/>
      <c r="H119" s="32"/>
    </row>
    <row r="120" spans="1:8" ht="32" x14ac:dyDescent="0.2">
      <c r="A120" s="32"/>
      <c r="B120" s="32"/>
      <c r="C120" s="32"/>
      <c r="D120" s="32"/>
      <c r="E120" s="29" t="s">
        <v>1365</v>
      </c>
      <c r="F120" s="32"/>
      <c r="G120" s="32"/>
      <c r="H120" s="32"/>
    </row>
    <row r="121" spans="1:8" ht="32" x14ac:dyDescent="0.2">
      <c r="A121" s="32"/>
      <c r="B121" s="32"/>
      <c r="C121" s="32"/>
      <c r="D121" s="32"/>
      <c r="E121" s="29" t="s">
        <v>1366</v>
      </c>
      <c r="F121" s="32"/>
      <c r="G121" s="32"/>
      <c r="H121" s="32"/>
    </row>
    <row r="122" spans="1:8" ht="32" x14ac:dyDescent="0.2">
      <c r="A122" s="32"/>
      <c r="B122" s="32"/>
      <c r="C122" s="32"/>
      <c r="D122" s="32"/>
      <c r="E122" s="29" t="s">
        <v>1367</v>
      </c>
      <c r="F122" s="32"/>
      <c r="G122" s="32"/>
      <c r="H122" s="32"/>
    </row>
    <row r="123" spans="1:8" ht="32" x14ac:dyDescent="0.2">
      <c r="A123" s="32"/>
      <c r="B123" s="32"/>
      <c r="C123" s="32"/>
      <c r="D123" s="32"/>
      <c r="E123" s="29" t="s">
        <v>1368</v>
      </c>
      <c r="F123" s="32"/>
      <c r="G123" s="32"/>
      <c r="H123" s="32"/>
    </row>
    <row r="124" spans="1:8" ht="32" x14ac:dyDescent="0.2">
      <c r="A124" s="32"/>
      <c r="B124" s="32"/>
      <c r="C124" s="32"/>
      <c r="D124" s="32"/>
      <c r="E124" s="29" t="s">
        <v>1369</v>
      </c>
      <c r="F124" s="32"/>
      <c r="G124" s="32"/>
      <c r="H124" s="32"/>
    </row>
    <row r="125" spans="1:8" ht="32" x14ac:dyDescent="0.2">
      <c r="A125" s="32"/>
      <c r="B125" s="32"/>
      <c r="C125" s="32"/>
      <c r="D125" s="32"/>
      <c r="E125" s="29" t="s">
        <v>1370</v>
      </c>
      <c r="F125" s="32"/>
      <c r="G125" s="32"/>
      <c r="H125" s="32"/>
    </row>
    <row r="126" spans="1:8" ht="32" x14ac:dyDescent="0.2">
      <c r="A126" s="32"/>
      <c r="B126" s="32"/>
      <c r="C126" s="32"/>
      <c r="D126" s="32"/>
      <c r="E126" s="29" t="s">
        <v>1371</v>
      </c>
      <c r="F126" s="32"/>
      <c r="G126" s="32"/>
      <c r="H126" s="32"/>
    </row>
    <row r="127" spans="1:8" ht="32" x14ac:dyDescent="0.2">
      <c r="A127" s="32"/>
      <c r="B127" s="32"/>
      <c r="C127" s="32"/>
      <c r="D127" s="32"/>
      <c r="E127" s="29" t="s">
        <v>1372</v>
      </c>
      <c r="F127" s="32"/>
      <c r="G127" s="32"/>
      <c r="H127" s="32"/>
    </row>
    <row r="128" spans="1:8" ht="32" x14ac:dyDescent="0.2">
      <c r="A128" s="32"/>
      <c r="B128" s="32"/>
      <c r="C128" s="32"/>
      <c r="D128" s="32"/>
      <c r="E128" s="29" t="s">
        <v>1373</v>
      </c>
      <c r="F128" s="32"/>
      <c r="G128" s="32"/>
      <c r="H128" s="32"/>
    </row>
    <row r="129" spans="1:8" ht="32" x14ac:dyDescent="0.2">
      <c r="A129" s="32"/>
      <c r="B129" s="32"/>
      <c r="C129" s="32"/>
      <c r="D129" s="32"/>
      <c r="E129" s="29" t="s">
        <v>1374</v>
      </c>
      <c r="F129" s="32"/>
      <c r="G129" s="32"/>
      <c r="H129" s="32"/>
    </row>
    <row r="130" spans="1:8" ht="32" x14ac:dyDescent="0.2">
      <c r="A130" s="32"/>
      <c r="B130" s="32"/>
      <c r="C130" s="32"/>
      <c r="D130" s="32"/>
      <c r="E130" s="29" t="s">
        <v>1375</v>
      </c>
      <c r="F130" s="32"/>
      <c r="G130" s="32"/>
      <c r="H130" s="32"/>
    </row>
    <row r="131" spans="1:8" ht="32" x14ac:dyDescent="0.2">
      <c r="A131" s="32"/>
      <c r="B131" s="32"/>
      <c r="C131" s="32"/>
      <c r="D131" s="32"/>
      <c r="E131" s="32" t="s">
        <v>1630</v>
      </c>
      <c r="F131" s="32"/>
      <c r="G131" s="32"/>
      <c r="H131" s="32"/>
    </row>
    <row r="132" spans="1:8" ht="32" x14ac:dyDescent="0.2">
      <c r="A132" s="32"/>
      <c r="B132" s="32"/>
      <c r="C132" s="32"/>
      <c r="D132" s="32"/>
      <c r="E132" s="32" t="s">
        <v>1631</v>
      </c>
      <c r="F132" s="32"/>
      <c r="G132" s="32"/>
      <c r="H132" s="32"/>
    </row>
    <row r="133" spans="1:8" ht="32" x14ac:dyDescent="0.2">
      <c r="A133" s="32"/>
      <c r="B133" s="32"/>
      <c r="C133" s="32"/>
      <c r="D133" s="32"/>
      <c r="E133" s="32" t="s">
        <v>1376</v>
      </c>
      <c r="F133" s="32"/>
      <c r="G133" s="32"/>
      <c r="H133" s="32"/>
    </row>
    <row r="134" spans="1:8" ht="32" x14ac:dyDescent="0.2">
      <c r="A134" s="32"/>
      <c r="B134" s="32"/>
      <c r="C134" s="32"/>
      <c r="D134" s="32"/>
      <c r="E134" s="32" t="s">
        <v>1377</v>
      </c>
      <c r="F134" s="32"/>
      <c r="G134" s="32"/>
      <c r="H134" s="32"/>
    </row>
    <row r="135" spans="1:8" ht="32" x14ac:dyDescent="0.2">
      <c r="A135" s="32"/>
      <c r="B135" s="32"/>
      <c r="C135" s="32"/>
      <c r="D135" s="32"/>
      <c r="E135" s="32" t="s">
        <v>1378</v>
      </c>
      <c r="F135" s="32"/>
      <c r="G135" s="32"/>
      <c r="H135" s="32"/>
    </row>
    <row r="136" spans="1:8" ht="32" x14ac:dyDescent="0.2">
      <c r="A136" s="32"/>
      <c r="B136" s="32"/>
      <c r="C136" s="32"/>
      <c r="D136" s="32"/>
      <c r="E136" s="32" t="s">
        <v>1379</v>
      </c>
      <c r="F136" s="32"/>
      <c r="G136" s="32"/>
      <c r="H136" s="32"/>
    </row>
    <row r="137" spans="1:8" ht="101.5" customHeight="1" x14ac:dyDescent="0.2">
      <c r="A137" s="32" t="s">
        <v>5</v>
      </c>
      <c r="B137" s="141" t="s">
        <v>563</v>
      </c>
      <c r="C137" s="32" t="s">
        <v>394</v>
      </c>
      <c r="D137" s="32" t="s">
        <v>564</v>
      </c>
      <c r="E137" s="141" t="s">
        <v>1380</v>
      </c>
      <c r="F137" s="32"/>
      <c r="G137" s="32"/>
      <c r="H137" s="32"/>
    </row>
    <row r="138" spans="1:8" ht="16" x14ac:dyDescent="0.2">
      <c r="A138" s="32"/>
      <c r="B138" s="32"/>
      <c r="C138" s="32"/>
      <c r="D138" s="32"/>
      <c r="E138" s="141" t="s">
        <v>1381</v>
      </c>
      <c r="F138" s="32"/>
      <c r="G138" s="32"/>
      <c r="H138" s="32"/>
    </row>
    <row r="139" spans="1:8" ht="29.25" customHeight="1" x14ac:dyDescent="0.2">
      <c r="A139" s="32"/>
      <c r="B139" s="32"/>
      <c r="C139" s="32"/>
      <c r="D139" s="32"/>
      <c r="E139" s="32" t="s">
        <v>1382</v>
      </c>
      <c r="F139" s="32"/>
      <c r="G139" s="32"/>
      <c r="H139" s="32"/>
    </row>
    <row r="140" spans="1:8" ht="192" x14ac:dyDescent="0.2">
      <c r="A140" s="32"/>
      <c r="B140" s="32"/>
      <c r="C140" s="32"/>
      <c r="D140" s="32"/>
      <c r="E140" s="32" t="s">
        <v>1383</v>
      </c>
      <c r="F140" s="32"/>
      <c r="G140" s="32"/>
      <c r="H140" s="32"/>
    </row>
    <row r="141" spans="1:8" ht="16" x14ac:dyDescent="0.2">
      <c r="A141" s="32"/>
      <c r="B141" s="32"/>
      <c r="C141" s="32"/>
      <c r="D141" s="32"/>
      <c r="E141" s="32" t="s">
        <v>1384</v>
      </c>
      <c r="F141" s="32"/>
      <c r="G141" s="32"/>
      <c r="H141" s="32"/>
    </row>
    <row r="142" spans="1:8" ht="29.25" customHeight="1" x14ac:dyDescent="0.2">
      <c r="A142" s="32"/>
      <c r="B142" s="32"/>
      <c r="C142" s="32"/>
      <c r="D142" s="32"/>
      <c r="E142" s="32" t="s">
        <v>1385</v>
      </c>
      <c r="F142" s="32"/>
      <c r="G142" s="32"/>
      <c r="H142" s="32"/>
    </row>
    <row r="143" spans="1:8" ht="48" x14ac:dyDescent="0.2">
      <c r="A143" s="32"/>
      <c r="B143" s="32"/>
      <c r="C143" s="32"/>
      <c r="D143" s="32"/>
      <c r="E143" s="32" t="s">
        <v>1386</v>
      </c>
      <c r="F143" s="32"/>
      <c r="G143" s="32"/>
      <c r="H143" s="32"/>
    </row>
    <row r="144" spans="1:8" ht="32" x14ac:dyDescent="0.2">
      <c r="A144" s="32"/>
      <c r="B144" s="32"/>
      <c r="C144" s="32"/>
      <c r="D144" s="32"/>
      <c r="E144" s="32" t="s">
        <v>1387</v>
      </c>
      <c r="F144" s="32"/>
      <c r="G144" s="32"/>
      <c r="H144" s="32"/>
    </row>
    <row r="145" spans="1:8" ht="64" x14ac:dyDescent="0.2">
      <c r="A145" s="32"/>
      <c r="B145" s="32"/>
      <c r="C145" s="32"/>
      <c r="D145" s="32"/>
      <c r="E145" s="32" t="s">
        <v>1388</v>
      </c>
      <c r="F145" s="32"/>
      <c r="G145" s="32"/>
      <c r="H145" s="32"/>
    </row>
    <row r="146" spans="1:8" ht="29.25" customHeight="1" x14ac:dyDescent="0.2">
      <c r="A146" s="32"/>
      <c r="B146" s="32"/>
      <c r="C146" s="32"/>
      <c r="D146" s="32"/>
      <c r="E146" s="32" t="s">
        <v>1389</v>
      </c>
      <c r="F146" s="32"/>
      <c r="G146" s="32"/>
      <c r="H146" s="32"/>
    </row>
    <row r="147" spans="1:8" ht="29.25" customHeight="1" x14ac:dyDescent="0.2">
      <c r="A147" s="32"/>
      <c r="B147" s="32"/>
      <c r="C147" s="32"/>
      <c r="D147" s="32"/>
      <c r="E147" s="32" t="s">
        <v>1390</v>
      </c>
      <c r="F147" s="32"/>
      <c r="G147" s="32"/>
      <c r="H147" s="32"/>
    </row>
    <row r="148" spans="1:8" ht="32" x14ac:dyDescent="0.2">
      <c r="A148" s="32"/>
      <c r="B148" s="32"/>
      <c r="C148" s="32"/>
      <c r="D148" s="32"/>
      <c r="E148" s="32" t="s">
        <v>1391</v>
      </c>
      <c r="F148" s="32"/>
      <c r="G148" s="32"/>
      <c r="H148" s="32"/>
    </row>
    <row r="149" spans="1:8" ht="29.25" customHeight="1" x14ac:dyDescent="0.2">
      <c r="A149" s="32"/>
      <c r="B149" s="32"/>
      <c r="C149" s="32"/>
      <c r="D149" s="32"/>
      <c r="E149" s="32" t="s">
        <v>1392</v>
      </c>
      <c r="F149" s="32"/>
      <c r="G149" s="32"/>
      <c r="H149" s="32"/>
    </row>
    <row r="150" spans="1:8" ht="16" x14ac:dyDescent="0.2">
      <c r="A150" s="32"/>
      <c r="B150" s="32"/>
      <c r="C150" s="32"/>
      <c r="D150" s="32"/>
      <c r="E150" s="32" t="s">
        <v>1393</v>
      </c>
      <c r="F150" s="32"/>
      <c r="G150" s="32"/>
      <c r="H150" s="32"/>
    </row>
    <row r="151" spans="1:8" ht="16" x14ac:dyDescent="0.2">
      <c r="A151" s="32"/>
      <c r="B151" s="32"/>
      <c r="C151" s="32"/>
      <c r="D151" s="32"/>
      <c r="E151" s="32" t="s">
        <v>1394</v>
      </c>
      <c r="F151" s="32"/>
      <c r="G151" s="32"/>
      <c r="H151" s="32"/>
    </row>
    <row r="152" spans="1:8" ht="16" x14ac:dyDescent="0.2">
      <c r="A152" s="32"/>
      <c r="B152" s="32"/>
      <c r="C152" s="32"/>
      <c r="D152" s="32"/>
      <c r="E152" s="32" t="s">
        <v>1395</v>
      </c>
      <c r="F152" s="32"/>
      <c r="G152" s="32"/>
      <c r="H152" s="32"/>
    </row>
    <row r="153" spans="1:8" ht="36" customHeight="1" x14ac:dyDescent="0.2">
      <c r="A153" s="32"/>
      <c r="B153" s="32"/>
      <c r="C153" s="32"/>
      <c r="D153" s="32"/>
      <c r="E153" s="32" t="s">
        <v>1396</v>
      </c>
      <c r="F153" s="32"/>
      <c r="G153" s="32"/>
      <c r="H153" s="32"/>
    </row>
    <row r="154" spans="1:8" ht="16" x14ac:dyDescent="0.2">
      <c r="A154" s="32"/>
      <c r="B154" s="32"/>
      <c r="C154" s="32"/>
      <c r="D154" s="32"/>
      <c r="E154" s="32" t="s">
        <v>1397</v>
      </c>
      <c r="F154" s="32"/>
      <c r="G154" s="32"/>
      <c r="H154" s="32"/>
    </row>
    <row r="155" spans="1:8" ht="16" x14ac:dyDescent="0.2">
      <c r="A155" s="32"/>
      <c r="B155" s="32"/>
      <c r="C155" s="32"/>
      <c r="D155" s="32"/>
      <c r="E155" s="32" t="s">
        <v>1398</v>
      </c>
      <c r="F155" s="32"/>
      <c r="G155" s="32"/>
      <c r="H155" s="32"/>
    </row>
    <row r="156" spans="1:8" ht="32" x14ac:dyDescent="0.2">
      <c r="A156" s="32"/>
      <c r="B156" s="32"/>
      <c r="C156" s="32"/>
      <c r="D156" s="32"/>
      <c r="E156" s="32" t="s">
        <v>1399</v>
      </c>
      <c r="F156" s="32"/>
      <c r="G156" s="32"/>
      <c r="H156" s="32"/>
    </row>
    <row r="157" spans="1:8" ht="101.5" customHeight="1" x14ac:dyDescent="0.2">
      <c r="A157" s="32" t="s">
        <v>5</v>
      </c>
      <c r="B157" s="141" t="s">
        <v>565</v>
      </c>
      <c r="C157" s="32" t="s">
        <v>394</v>
      </c>
      <c r="D157" s="32" t="s">
        <v>566</v>
      </c>
      <c r="E157" s="32" t="s">
        <v>1400</v>
      </c>
      <c r="F157" s="32"/>
      <c r="G157" s="32"/>
      <c r="H157" s="32"/>
    </row>
    <row r="158" spans="1:8" ht="29.25" customHeight="1" x14ac:dyDescent="0.2">
      <c r="A158" s="32"/>
      <c r="B158" s="32"/>
      <c r="C158" s="32"/>
      <c r="D158" s="32"/>
      <c r="E158" s="32" t="s">
        <v>1401</v>
      </c>
      <c r="F158" s="32"/>
      <c r="G158" s="32"/>
      <c r="H158" s="32"/>
    </row>
    <row r="159" spans="1:8" ht="29.25" customHeight="1" x14ac:dyDescent="0.2">
      <c r="A159" s="32"/>
      <c r="B159" s="32"/>
      <c r="C159" s="32"/>
      <c r="D159" s="32"/>
      <c r="E159" s="32" t="s">
        <v>1402</v>
      </c>
      <c r="F159" s="32"/>
      <c r="G159" s="32"/>
      <c r="H159" s="32"/>
    </row>
    <row r="160" spans="1:8" ht="29.25" customHeight="1" x14ac:dyDescent="0.2">
      <c r="A160" s="32"/>
      <c r="B160" s="32"/>
      <c r="C160" s="32"/>
      <c r="D160" s="32"/>
      <c r="E160" s="32" t="s">
        <v>1403</v>
      </c>
      <c r="F160" s="32"/>
      <c r="G160" s="32"/>
      <c r="H160" s="32"/>
    </row>
    <row r="161" spans="1:8" ht="29.25" customHeight="1" x14ac:dyDescent="0.2">
      <c r="A161" s="32"/>
      <c r="B161" s="32"/>
      <c r="C161" s="32"/>
      <c r="D161" s="32"/>
      <c r="E161" s="32" t="s">
        <v>1404</v>
      </c>
      <c r="F161" s="32"/>
      <c r="G161" s="32"/>
      <c r="H161" s="32"/>
    </row>
    <row r="162" spans="1:8" ht="29.25" customHeight="1" x14ac:dyDescent="0.2">
      <c r="A162" s="32"/>
      <c r="B162" s="32"/>
      <c r="C162" s="32"/>
      <c r="D162" s="32"/>
      <c r="E162" s="32" t="s">
        <v>1405</v>
      </c>
      <c r="F162" s="32"/>
      <c r="G162" s="32"/>
      <c r="H162" s="32"/>
    </row>
    <row r="163" spans="1:8" ht="29.25" customHeight="1" x14ac:dyDescent="0.2">
      <c r="A163" s="32"/>
      <c r="B163" s="32"/>
      <c r="C163" s="32"/>
      <c r="D163" s="32"/>
      <c r="E163" s="32" t="s">
        <v>1406</v>
      </c>
      <c r="F163" s="32"/>
      <c r="G163" s="32"/>
      <c r="H163" s="32"/>
    </row>
    <row r="164" spans="1:8" ht="29.25" customHeight="1" x14ac:dyDescent="0.2">
      <c r="A164" s="32"/>
      <c r="B164" s="32"/>
      <c r="C164" s="32"/>
      <c r="D164" s="32"/>
      <c r="E164" s="32" t="s">
        <v>1407</v>
      </c>
      <c r="F164" s="32"/>
      <c r="G164" s="32"/>
      <c r="H164" s="32"/>
    </row>
    <row r="165" spans="1:8" ht="29.25" customHeight="1" x14ac:dyDescent="0.2">
      <c r="A165" s="32"/>
      <c r="B165" s="32"/>
      <c r="C165" s="32"/>
      <c r="D165" s="32"/>
      <c r="E165" s="32" t="s">
        <v>1408</v>
      </c>
      <c r="F165" s="32"/>
      <c r="G165" s="32"/>
      <c r="H165" s="32"/>
    </row>
    <row r="166" spans="1:8" ht="32" x14ac:dyDescent="0.2">
      <c r="A166" s="32"/>
      <c r="B166" s="32"/>
      <c r="C166" s="32"/>
      <c r="D166" s="32"/>
      <c r="E166" s="32" t="s">
        <v>1409</v>
      </c>
      <c r="F166" s="32"/>
      <c r="G166" s="32"/>
      <c r="H166" s="32"/>
    </row>
    <row r="167" spans="1:8" ht="32" x14ac:dyDescent="0.2">
      <c r="A167" s="32"/>
      <c r="B167" s="32"/>
      <c r="C167" s="32"/>
      <c r="D167" s="32"/>
      <c r="E167" s="32" t="s">
        <v>1410</v>
      </c>
      <c r="F167" s="32"/>
      <c r="G167" s="32"/>
      <c r="H167" s="32"/>
    </row>
    <row r="168" spans="1:8" ht="32" x14ac:dyDescent="0.2">
      <c r="A168" s="32"/>
      <c r="B168" s="32"/>
      <c r="C168" s="32"/>
      <c r="D168" s="32"/>
      <c r="E168" s="32" t="s">
        <v>1411</v>
      </c>
      <c r="F168" s="32"/>
      <c r="G168" s="32"/>
      <c r="H168" s="32"/>
    </row>
    <row r="169" spans="1:8" ht="32" x14ac:dyDescent="0.2">
      <c r="A169" s="32"/>
      <c r="B169" s="32"/>
      <c r="C169" s="32"/>
      <c r="D169" s="32"/>
      <c r="E169" s="32" t="s">
        <v>1412</v>
      </c>
      <c r="F169" s="32"/>
      <c r="G169" s="32"/>
      <c r="H169" s="32"/>
    </row>
    <row r="170" spans="1:8" ht="80" x14ac:dyDescent="0.2">
      <c r="A170" s="32"/>
      <c r="B170" s="32"/>
      <c r="C170" s="32"/>
      <c r="D170" s="32"/>
      <c r="E170" s="32" t="s">
        <v>1413</v>
      </c>
      <c r="F170" s="32"/>
      <c r="G170" s="32"/>
      <c r="H170" s="32"/>
    </row>
    <row r="171" spans="1:8" ht="48" x14ac:dyDescent="0.2">
      <c r="A171" s="32"/>
      <c r="B171" s="32"/>
      <c r="C171" s="32"/>
      <c r="D171" s="32"/>
      <c r="E171" s="32" t="s">
        <v>1414</v>
      </c>
      <c r="F171" s="32"/>
      <c r="G171" s="32"/>
      <c r="H171" s="32"/>
    </row>
    <row r="172" spans="1:8" ht="105.75" customHeight="1" x14ac:dyDescent="0.2">
      <c r="A172" s="32"/>
      <c r="B172" s="32"/>
      <c r="C172" s="32"/>
      <c r="D172" s="32"/>
      <c r="E172" s="32" t="s">
        <v>1415</v>
      </c>
      <c r="F172" s="32"/>
      <c r="G172" s="32"/>
      <c r="H172" s="32"/>
    </row>
    <row r="173" spans="1:8" ht="32" x14ac:dyDescent="0.2">
      <c r="A173" s="32"/>
      <c r="B173" s="32"/>
      <c r="C173" s="32"/>
      <c r="D173" s="32"/>
      <c r="E173" s="32" t="s">
        <v>1416</v>
      </c>
      <c r="F173" s="32"/>
      <c r="G173" s="32"/>
      <c r="H173" s="32"/>
    </row>
    <row r="174" spans="1:8" ht="32" x14ac:dyDescent="0.2">
      <c r="A174" s="32"/>
      <c r="B174" s="32"/>
      <c r="C174" s="32"/>
      <c r="D174" s="32"/>
      <c r="E174" s="32" t="s">
        <v>1417</v>
      </c>
      <c r="F174" s="32"/>
      <c r="G174" s="32"/>
      <c r="H174" s="32"/>
    </row>
    <row r="175" spans="1:8" ht="32" x14ac:dyDescent="0.2">
      <c r="A175" s="32"/>
      <c r="B175" s="32"/>
      <c r="C175" s="32"/>
      <c r="D175" s="32"/>
      <c r="E175" s="32" t="s">
        <v>1404</v>
      </c>
      <c r="F175" s="32"/>
      <c r="G175" s="32"/>
      <c r="H175" s="32"/>
    </row>
    <row r="176" spans="1:8" ht="32" x14ac:dyDescent="0.2">
      <c r="A176" s="32"/>
      <c r="B176" s="32"/>
      <c r="C176" s="32"/>
      <c r="D176" s="32"/>
      <c r="E176" s="32" t="s">
        <v>1405</v>
      </c>
      <c r="F176" s="32"/>
      <c r="G176" s="32"/>
      <c r="H176" s="32"/>
    </row>
    <row r="177" spans="1:8" ht="32" x14ac:dyDescent="0.2">
      <c r="A177" s="32"/>
      <c r="B177" s="32"/>
      <c r="C177" s="32"/>
      <c r="D177" s="32"/>
      <c r="E177" s="32" t="s">
        <v>1418</v>
      </c>
      <c r="F177" s="32"/>
      <c r="G177" s="32"/>
      <c r="H177" s="32"/>
    </row>
    <row r="178" spans="1:8" ht="32" x14ac:dyDescent="0.2">
      <c r="A178" s="32"/>
      <c r="B178" s="32"/>
      <c r="C178" s="32"/>
      <c r="D178" s="32"/>
      <c r="E178" s="32" t="s">
        <v>1419</v>
      </c>
      <c r="F178" s="32"/>
      <c r="G178" s="32"/>
      <c r="H178" s="32"/>
    </row>
    <row r="179" spans="1:8" ht="32" x14ac:dyDescent="0.2">
      <c r="A179" s="32"/>
      <c r="B179" s="32"/>
      <c r="C179" s="32"/>
      <c r="D179" s="32"/>
      <c r="E179" s="32" t="s">
        <v>1420</v>
      </c>
      <c r="F179" s="32"/>
      <c r="G179" s="32"/>
      <c r="H179" s="32"/>
    </row>
    <row r="180" spans="1:8" ht="32" x14ac:dyDescent="0.2">
      <c r="A180" s="32"/>
      <c r="B180" s="32"/>
      <c r="C180" s="32"/>
      <c r="D180" s="32"/>
      <c r="E180" s="32" t="s">
        <v>1421</v>
      </c>
      <c r="F180" s="32"/>
      <c r="G180" s="32"/>
      <c r="H180" s="32"/>
    </row>
    <row r="181" spans="1:8" ht="32" x14ac:dyDescent="0.2">
      <c r="A181" s="32"/>
      <c r="B181" s="32"/>
      <c r="C181" s="32"/>
      <c r="D181" s="32"/>
      <c r="E181" s="32" t="s">
        <v>1422</v>
      </c>
      <c r="F181" s="32"/>
      <c r="G181" s="32"/>
      <c r="H181" s="32"/>
    </row>
    <row r="182" spans="1:8" ht="32" x14ac:dyDescent="0.2">
      <c r="A182" s="32"/>
      <c r="B182" s="32"/>
      <c r="C182" s="32"/>
      <c r="D182" s="32"/>
      <c r="E182" s="32" t="s">
        <v>1423</v>
      </c>
      <c r="F182" s="32"/>
      <c r="G182" s="32"/>
      <c r="H182" s="32"/>
    </row>
    <row r="183" spans="1:8" ht="32" x14ac:dyDescent="0.2">
      <c r="A183" s="32"/>
      <c r="B183" s="32"/>
      <c r="C183" s="32"/>
      <c r="D183" s="32"/>
      <c r="E183" s="32" t="s">
        <v>1424</v>
      </c>
      <c r="F183" s="32"/>
      <c r="G183" s="32"/>
      <c r="H183" s="32"/>
    </row>
    <row r="184" spans="1:8" ht="32" x14ac:dyDescent="0.2">
      <c r="A184" s="32"/>
      <c r="B184" s="32"/>
      <c r="C184" s="32"/>
      <c r="D184" s="32"/>
      <c r="E184" s="32" t="s">
        <v>1425</v>
      </c>
      <c r="F184" s="32"/>
      <c r="G184" s="32"/>
      <c r="H184" s="32"/>
    </row>
    <row r="185" spans="1:8" ht="32" x14ac:dyDescent="0.2">
      <c r="A185" s="32"/>
      <c r="B185" s="32"/>
      <c r="C185" s="32"/>
      <c r="D185" s="32"/>
      <c r="E185" s="32" t="s">
        <v>1426</v>
      </c>
      <c r="F185" s="32"/>
      <c r="G185" s="32"/>
      <c r="H185" s="32"/>
    </row>
    <row r="186" spans="1:8" ht="32" x14ac:dyDescent="0.2">
      <c r="A186" s="32"/>
      <c r="B186" s="32"/>
      <c r="C186" s="32"/>
      <c r="D186" s="32"/>
      <c r="E186" s="32" t="s">
        <v>1632</v>
      </c>
      <c r="F186" s="32"/>
      <c r="G186" s="32"/>
      <c r="H186" s="32"/>
    </row>
    <row r="187" spans="1:8" ht="16" x14ac:dyDescent="0.2">
      <c r="A187" s="32"/>
      <c r="B187" s="32"/>
      <c r="C187" s="32"/>
      <c r="D187" s="32"/>
      <c r="E187" s="32" t="s">
        <v>1633</v>
      </c>
      <c r="F187" s="32"/>
      <c r="G187" s="32"/>
      <c r="H187" s="32"/>
    </row>
    <row r="188" spans="1:8" ht="32" x14ac:dyDescent="0.2">
      <c r="A188" s="32"/>
      <c r="B188" s="32"/>
      <c r="C188" s="32"/>
      <c r="D188" s="32"/>
      <c r="E188" s="32" t="s">
        <v>1634</v>
      </c>
      <c r="F188" s="32"/>
      <c r="G188" s="32"/>
      <c r="H188" s="32"/>
    </row>
    <row r="189" spans="1:8" ht="48" x14ac:dyDescent="0.2">
      <c r="A189" s="32" t="s">
        <v>5</v>
      </c>
      <c r="B189" s="32" t="s">
        <v>736</v>
      </c>
      <c r="C189" s="32" t="s">
        <v>394</v>
      </c>
      <c r="D189" s="32" t="s">
        <v>737</v>
      </c>
      <c r="E189" s="98" t="s">
        <v>911</v>
      </c>
      <c r="F189" s="32"/>
      <c r="G189" s="32"/>
      <c r="H189" s="32"/>
    </row>
    <row r="190" spans="1:8" ht="32" x14ac:dyDescent="0.2">
      <c r="A190" s="32"/>
      <c r="B190" s="32"/>
      <c r="C190" s="32"/>
      <c r="D190" s="32"/>
      <c r="E190" s="32" t="s">
        <v>838</v>
      </c>
      <c r="F190" s="32"/>
      <c r="G190" s="32"/>
      <c r="H190" s="32"/>
    </row>
    <row r="191" spans="1:8" ht="16" x14ac:dyDescent="0.2">
      <c r="A191" s="32"/>
      <c r="B191" s="32"/>
      <c r="C191" s="32"/>
      <c r="D191" s="32"/>
      <c r="E191" s="32" t="s">
        <v>1427</v>
      </c>
      <c r="F191" s="32"/>
      <c r="G191" s="32"/>
      <c r="H191" s="32"/>
    </row>
    <row r="192" spans="1:8" ht="16" x14ac:dyDescent="0.2">
      <c r="A192" s="32"/>
      <c r="B192" s="32"/>
      <c r="C192" s="32"/>
      <c r="D192" s="32"/>
      <c r="E192" s="32" t="s">
        <v>1428</v>
      </c>
      <c r="F192" s="32"/>
      <c r="G192" s="32"/>
      <c r="H192" s="32"/>
    </row>
    <row r="193" spans="1:8" ht="101.5" customHeight="1" x14ac:dyDescent="0.2">
      <c r="A193" s="32" t="s">
        <v>5</v>
      </c>
      <c r="B193" s="32" t="s">
        <v>567</v>
      </c>
      <c r="C193" s="32" t="s">
        <v>394</v>
      </c>
      <c r="D193" s="32" t="s">
        <v>568</v>
      </c>
      <c r="E193" s="32" t="s">
        <v>1429</v>
      </c>
      <c r="F193" s="32"/>
      <c r="G193" s="32"/>
      <c r="H193" s="32"/>
    </row>
    <row r="194" spans="1:8" ht="29.25" customHeight="1" x14ac:dyDescent="0.2">
      <c r="A194" s="32"/>
      <c r="B194" s="32"/>
      <c r="C194" s="32"/>
      <c r="D194" s="32"/>
      <c r="E194" s="32" t="s">
        <v>1430</v>
      </c>
      <c r="F194" s="32"/>
      <c r="G194" s="32"/>
      <c r="H194" s="32"/>
    </row>
    <row r="195" spans="1:8" ht="16" x14ac:dyDescent="0.2">
      <c r="A195" s="32"/>
      <c r="B195" s="32"/>
      <c r="C195" s="32"/>
      <c r="D195" s="32"/>
      <c r="E195" s="32" t="s">
        <v>1431</v>
      </c>
      <c r="F195" s="32"/>
      <c r="G195" s="32"/>
      <c r="H195" s="32"/>
    </row>
    <row r="196" spans="1:8" ht="29.25" customHeight="1" x14ac:dyDescent="0.2">
      <c r="A196" s="32"/>
      <c r="B196" s="32"/>
      <c r="C196" s="32"/>
      <c r="D196" s="32"/>
      <c r="E196" s="32" t="s">
        <v>1432</v>
      </c>
      <c r="F196" s="32"/>
      <c r="G196" s="32"/>
      <c r="H196" s="32"/>
    </row>
    <row r="197" spans="1:8" ht="29.25" customHeight="1" x14ac:dyDescent="0.2">
      <c r="A197" s="32"/>
      <c r="B197" s="32"/>
      <c r="C197" s="32"/>
      <c r="D197" s="32"/>
      <c r="E197" s="32" t="s">
        <v>1433</v>
      </c>
      <c r="F197" s="32"/>
      <c r="G197" s="32"/>
      <c r="H197" s="32"/>
    </row>
    <row r="198" spans="1:8" ht="29.25" customHeight="1" x14ac:dyDescent="0.2">
      <c r="A198" s="32"/>
      <c r="B198" s="32"/>
      <c r="C198" s="32"/>
      <c r="D198" s="32"/>
      <c r="E198" s="32" t="s">
        <v>1434</v>
      </c>
      <c r="F198" s="32"/>
      <c r="G198" s="32"/>
      <c r="H198" s="32"/>
    </row>
    <row r="199" spans="1:8" ht="29.25" customHeight="1" x14ac:dyDescent="0.2">
      <c r="A199" s="32"/>
      <c r="B199" s="32"/>
      <c r="C199" s="32"/>
      <c r="D199" s="32"/>
      <c r="E199" s="32" t="s">
        <v>1435</v>
      </c>
      <c r="F199" s="32"/>
      <c r="G199" s="32"/>
      <c r="H199" s="32"/>
    </row>
    <row r="200" spans="1:8" ht="29.25" customHeight="1" x14ac:dyDescent="0.2">
      <c r="A200" s="32"/>
      <c r="B200" s="32"/>
      <c r="C200" s="32"/>
      <c r="D200" s="32"/>
      <c r="E200" s="32" t="s">
        <v>1436</v>
      </c>
      <c r="F200" s="32"/>
      <c r="G200" s="32"/>
      <c r="H200" s="32"/>
    </row>
    <row r="201" spans="1:8" ht="29.25" customHeight="1" x14ac:dyDescent="0.2">
      <c r="A201" s="32"/>
      <c r="B201" s="32"/>
      <c r="C201" s="32"/>
      <c r="D201" s="32"/>
      <c r="E201" s="32" t="s">
        <v>1437</v>
      </c>
      <c r="F201" s="32"/>
      <c r="G201" s="32"/>
      <c r="H201" s="32"/>
    </row>
    <row r="202" spans="1:8" ht="80" x14ac:dyDescent="0.2">
      <c r="A202" s="32"/>
      <c r="B202" s="32"/>
      <c r="C202" s="32"/>
      <c r="D202" s="32"/>
      <c r="E202" s="32" t="s">
        <v>1438</v>
      </c>
      <c r="F202" s="32"/>
      <c r="G202" s="32"/>
      <c r="H202" s="32"/>
    </row>
    <row r="203" spans="1:8" ht="49" customHeight="1" x14ac:dyDescent="0.2">
      <c r="A203" s="32"/>
      <c r="B203" s="32"/>
      <c r="C203" s="32"/>
      <c r="D203" s="32"/>
      <c r="E203" s="32" t="s">
        <v>1439</v>
      </c>
      <c r="F203" s="32"/>
      <c r="G203" s="32"/>
      <c r="H203" s="32"/>
    </row>
    <row r="204" spans="1:8" ht="29.25" customHeight="1" x14ac:dyDescent="0.2">
      <c r="A204" s="32"/>
      <c r="B204" s="32"/>
      <c r="C204" s="32"/>
      <c r="D204" s="32"/>
      <c r="E204" s="32" t="s">
        <v>1440</v>
      </c>
      <c r="F204" s="32"/>
      <c r="G204" s="32"/>
      <c r="H204" s="32"/>
    </row>
    <row r="205" spans="1:8" ht="29.25" customHeight="1" x14ac:dyDescent="0.2">
      <c r="A205" s="32"/>
      <c r="B205" s="32"/>
      <c r="C205" s="32"/>
      <c r="D205" s="32"/>
      <c r="E205" s="32" t="s">
        <v>1441</v>
      </c>
      <c r="F205" s="32"/>
      <c r="G205" s="32"/>
      <c r="H205" s="32"/>
    </row>
    <row r="206" spans="1:8" ht="29.25" customHeight="1" x14ac:dyDescent="0.2">
      <c r="A206" s="32"/>
      <c r="B206" s="32"/>
      <c r="C206" s="32"/>
      <c r="D206" s="32"/>
      <c r="E206" s="32" t="s">
        <v>1442</v>
      </c>
      <c r="F206" s="32"/>
      <c r="G206" s="32"/>
      <c r="H206" s="32"/>
    </row>
    <row r="207" spans="1:8" ht="29.25" customHeight="1" x14ac:dyDescent="0.2">
      <c r="A207" s="32"/>
      <c r="B207" s="32"/>
      <c r="C207" s="32"/>
      <c r="D207" s="32"/>
      <c r="E207" s="32" t="s">
        <v>1443</v>
      </c>
      <c r="F207" s="32"/>
      <c r="G207" s="32"/>
      <c r="H207" s="32"/>
    </row>
    <row r="208" spans="1:8" ht="29.25" customHeight="1" x14ac:dyDescent="0.2">
      <c r="A208" s="32"/>
      <c r="B208" s="32"/>
      <c r="C208" s="32"/>
      <c r="D208" s="32"/>
      <c r="E208" s="32" t="s">
        <v>1444</v>
      </c>
      <c r="F208" s="32"/>
      <c r="G208" s="32"/>
      <c r="H208" s="32"/>
    </row>
    <row r="209" spans="1:8" ht="29.25" customHeight="1" x14ac:dyDescent="0.2">
      <c r="A209" s="32"/>
      <c r="B209" s="32"/>
      <c r="C209" s="32"/>
      <c r="D209" s="32"/>
      <c r="E209" s="32" t="s">
        <v>1445</v>
      </c>
      <c r="F209" s="32"/>
      <c r="G209" s="32"/>
      <c r="H209" s="32"/>
    </row>
    <row r="210" spans="1:8" ht="29.25" customHeight="1" x14ac:dyDescent="0.2">
      <c r="A210" s="32"/>
      <c r="B210" s="32"/>
      <c r="C210" s="32"/>
      <c r="D210" s="32"/>
      <c r="E210" s="32" t="s">
        <v>1446</v>
      </c>
      <c r="F210" s="32"/>
      <c r="G210" s="32"/>
      <c r="H210" s="32"/>
    </row>
    <row r="211" spans="1:8" ht="29.25" customHeight="1" x14ac:dyDescent="0.2">
      <c r="A211" s="32"/>
      <c r="B211" s="32"/>
      <c r="C211" s="32"/>
      <c r="D211" s="32"/>
      <c r="E211" s="32" t="s">
        <v>1447</v>
      </c>
      <c r="F211" s="32"/>
      <c r="G211" s="32"/>
      <c r="H211" s="32"/>
    </row>
    <row r="212" spans="1:8" ht="29.25" customHeight="1" x14ac:dyDescent="0.2">
      <c r="A212" s="32"/>
      <c r="B212" s="32"/>
      <c r="C212" s="32"/>
      <c r="D212" s="32"/>
      <c r="E212" s="32" t="s">
        <v>1448</v>
      </c>
      <c r="F212" s="32"/>
      <c r="G212" s="32"/>
      <c r="H212" s="32"/>
    </row>
    <row r="213" spans="1:8" ht="29.25" customHeight="1" x14ac:dyDescent="0.2">
      <c r="A213" s="32"/>
      <c r="B213" s="32"/>
      <c r="C213" s="32"/>
      <c r="D213" s="32"/>
      <c r="E213" s="32" t="s">
        <v>1449</v>
      </c>
      <c r="F213" s="32"/>
      <c r="G213" s="32"/>
      <c r="H213" s="32"/>
    </row>
    <row r="214" spans="1:8" ht="29.25" customHeight="1" x14ac:dyDescent="0.2">
      <c r="A214" s="32"/>
      <c r="B214" s="32"/>
      <c r="C214" s="32"/>
      <c r="D214" s="32"/>
      <c r="E214" s="32" t="s">
        <v>1450</v>
      </c>
      <c r="F214" s="32"/>
      <c r="G214" s="32"/>
      <c r="H214" s="32"/>
    </row>
    <row r="215" spans="1:8" ht="32" x14ac:dyDescent="0.2">
      <c r="A215" s="32"/>
      <c r="B215" s="32"/>
      <c r="C215" s="32"/>
      <c r="D215" s="32"/>
      <c r="E215" s="32" t="s">
        <v>1451</v>
      </c>
      <c r="F215" s="32"/>
      <c r="G215" s="32"/>
      <c r="H215" s="32"/>
    </row>
    <row r="216" spans="1:8" ht="32" x14ac:dyDescent="0.2">
      <c r="A216" s="32"/>
      <c r="B216" s="32"/>
      <c r="C216" s="32"/>
      <c r="D216" s="32"/>
      <c r="E216" s="32" t="s">
        <v>1452</v>
      </c>
      <c r="F216" s="32"/>
      <c r="G216" s="32"/>
      <c r="H216" s="32"/>
    </row>
    <row r="217" spans="1:8" ht="29.25" customHeight="1" x14ac:dyDescent="0.2">
      <c r="A217" s="32"/>
      <c r="B217" s="32"/>
      <c r="C217" s="32"/>
      <c r="D217" s="32"/>
      <c r="E217" s="32" t="s">
        <v>1453</v>
      </c>
      <c r="F217" s="32"/>
      <c r="G217" s="32"/>
      <c r="H217" s="32"/>
    </row>
    <row r="218" spans="1:8" ht="29.25" customHeight="1" x14ac:dyDescent="0.2">
      <c r="A218" s="32"/>
      <c r="B218" s="32"/>
      <c r="C218" s="32"/>
      <c r="D218" s="32"/>
      <c r="E218" s="32" t="s">
        <v>1454</v>
      </c>
      <c r="F218" s="32"/>
      <c r="G218" s="32"/>
      <c r="H218" s="32"/>
    </row>
    <row r="219" spans="1:8" ht="29.25" customHeight="1" x14ac:dyDescent="0.2">
      <c r="A219" s="32"/>
      <c r="B219" s="32"/>
      <c r="C219" s="32"/>
      <c r="D219" s="32"/>
      <c r="E219" s="32" t="s">
        <v>1455</v>
      </c>
      <c r="F219" s="32"/>
      <c r="G219" s="32"/>
      <c r="H219" s="32"/>
    </row>
    <row r="220" spans="1:8" ht="32" x14ac:dyDescent="0.2">
      <c r="A220" s="32"/>
      <c r="B220" s="32"/>
      <c r="C220" s="32"/>
      <c r="D220" s="32"/>
      <c r="E220" s="32" t="s">
        <v>1456</v>
      </c>
      <c r="F220" s="32"/>
      <c r="G220" s="32"/>
      <c r="H220" s="32"/>
    </row>
    <row r="221" spans="1:8" ht="32" x14ac:dyDescent="0.2">
      <c r="A221" s="32"/>
      <c r="B221" s="32"/>
      <c r="C221" s="32"/>
      <c r="D221" s="32"/>
      <c r="E221" s="32" t="s">
        <v>1457</v>
      </c>
      <c r="F221" s="32"/>
      <c r="G221" s="32"/>
      <c r="H221" s="32"/>
    </row>
    <row r="222" spans="1:8" ht="32" x14ac:dyDescent="0.2">
      <c r="A222" s="32"/>
      <c r="B222" s="32"/>
      <c r="C222" s="32"/>
      <c r="D222" s="32"/>
      <c r="E222" s="32" t="s">
        <v>1458</v>
      </c>
      <c r="F222" s="32"/>
      <c r="G222" s="32"/>
      <c r="H222" s="32"/>
    </row>
    <row r="223" spans="1:8" ht="32" x14ac:dyDescent="0.2">
      <c r="A223" s="32"/>
      <c r="B223" s="32"/>
      <c r="C223" s="32"/>
      <c r="D223" s="32"/>
      <c r="E223" s="32" t="s">
        <v>1459</v>
      </c>
      <c r="F223" s="32"/>
      <c r="G223" s="32"/>
      <c r="H223" s="32"/>
    </row>
    <row r="224" spans="1:8" ht="32" x14ac:dyDescent="0.2">
      <c r="A224" s="32"/>
      <c r="B224" s="32"/>
      <c r="C224" s="32"/>
      <c r="D224" s="32"/>
      <c r="E224" s="32" t="s">
        <v>1460</v>
      </c>
      <c r="F224" s="32"/>
      <c r="G224" s="32"/>
      <c r="H224" s="32"/>
    </row>
    <row r="225" spans="1:8" ht="32" x14ac:dyDescent="0.2">
      <c r="A225" s="32"/>
      <c r="B225" s="32"/>
      <c r="C225" s="32"/>
      <c r="D225" s="32"/>
      <c r="E225" s="32" t="s">
        <v>1461</v>
      </c>
      <c r="F225" s="32"/>
      <c r="G225" s="32"/>
      <c r="H225" s="32"/>
    </row>
    <row r="226" spans="1:8" ht="32" x14ac:dyDescent="0.2">
      <c r="A226" s="32"/>
      <c r="B226" s="32"/>
      <c r="C226" s="32"/>
      <c r="D226" s="32"/>
      <c r="E226" s="32" t="s">
        <v>1462</v>
      </c>
      <c r="F226" s="32"/>
      <c r="G226" s="32"/>
      <c r="H226" s="32"/>
    </row>
    <row r="227" spans="1:8" ht="32" x14ac:dyDescent="0.2">
      <c r="A227" s="32"/>
      <c r="B227" s="32"/>
      <c r="C227" s="32"/>
      <c r="D227" s="32"/>
      <c r="E227" s="32" t="s">
        <v>1463</v>
      </c>
      <c r="F227" s="32"/>
      <c r="G227" s="32"/>
      <c r="H227" s="32"/>
    </row>
    <row r="228" spans="1:8" ht="32" x14ac:dyDescent="0.2">
      <c r="A228" s="32"/>
      <c r="B228" s="32"/>
      <c r="C228" s="32"/>
      <c r="D228" s="32"/>
      <c r="E228" s="32" t="s">
        <v>1464</v>
      </c>
      <c r="F228" s="32"/>
      <c r="G228" s="32"/>
      <c r="H228" s="32"/>
    </row>
    <row r="229" spans="1:8" ht="32" x14ac:dyDescent="0.2">
      <c r="A229" s="32"/>
      <c r="B229" s="32"/>
      <c r="C229" s="32"/>
      <c r="D229" s="32"/>
      <c r="E229" s="32" t="s">
        <v>1465</v>
      </c>
      <c r="F229" s="32"/>
      <c r="G229" s="32"/>
      <c r="H229" s="32"/>
    </row>
    <row r="230" spans="1:8" ht="32" x14ac:dyDescent="0.2">
      <c r="A230" s="32"/>
      <c r="B230" s="32"/>
      <c r="C230" s="32"/>
      <c r="D230" s="32"/>
      <c r="E230" s="32" t="s">
        <v>1466</v>
      </c>
      <c r="F230" s="32"/>
      <c r="G230" s="32"/>
      <c r="H230" s="32"/>
    </row>
    <row r="231" spans="1:8" ht="32" x14ac:dyDescent="0.2">
      <c r="A231" s="32"/>
      <c r="B231" s="32"/>
      <c r="C231" s="32"/>
      <c r="D231" s="32"/>
      <c r="E231" s="32" t="s">
        <v>1635</v>
      </c>
      <c r="F231" s="32"/>
      <c r="G231" s="32"/>
      <c r="H231" s="32"/>
    </row>
    <row r="232" spans="1:8" ht="32" x14ac:dyDescent="0.2">
      <c r="A232" s="32"/>
      <c r="B232" s="32"/>
      <c r="C232" s="32"/>
      <c r="D232" s="32"/>
      <c r="E232" s="32" t="s">
        <v>1467</v>
      </c>
      <c r="F232" s="32"/>
      <c r="G232" s="32"/>
      <c r="H232" s="32"/>
    </row>
    <row r="233" spans="1:8" ht="32" x14ac:dyDescent="0.2">
      <c r="A233" s="32"/>
      <c r="B233" s="32"/>
      <c r="C233" s="32"/>
      <c r="D233" s="32"/>
      <c r="E233" s="32" t="s">
        <v>1468</v>
      </c>
      <c r="F233" s="32"/>
      <c r="G233" s="32"/>
      <c r="H233" s="32"/>
    </row>
    <row r="234" spans="1:8" ht="32" x14ac:dyDescent="0.2">
      <c r="A234" s="32"/>
      <c r="B234" s="32"/>
      <c r="C234" s="32"/>
      <c r="D234" s="32"/>
      <c r="E234" s="32" t="s">
        <v>1469</v>
      </c>
      <c r="F234" s="32"/>
      <c r="G234" s="32"/>
      <c r="H234" s="32"/>
    </row>
    <row r="235" spans="1:8" ht="32" x14ac:dyDescent="0.2">
      <c r="A235" s="32"/>
      <c r="B235" s="32"/>
      <c r="C235" s="32"/>
      <c r="D235" s="32"/>
      <c r="E235" s="32" t="s">
        <v>1470</v>
      </c>
      <c r="F235" s="32"/>
      <c r="G235" s="32"/>
      <c r="H235" s="32"/>
    </row>
    <row r="236" spans="1:8" ht="29.25" customHeight="1" x14ac:dyDescent="0.2">
      <c r="A236" s="32"/>
      <c r="B236" s="32"/>
      <c r="C236" s="32"/>
      <c r="D236" s="32"/>
      <c r="E236" s="32" t="s">
        <v>1471</v>
      </c>
      <c r="F236" s="32"/>
      <c r="G236" s="32"/>
      <c r="H236" s="32"/>
    </row>
    <row r="237" spans="1:8" ht="29.25" customHeight="1" x14ac:dyDescent="0.2">
      <c r="A237" s="32"/>
      <c r="B237" s="32"/>
      <c r="C237" s="32"/>
      <c r="D237" s="32"/>
      <c r="E237" s="32" t="s">
        <v>1472</v>
      </c>
      <c r="F237" s="32"/>
      <c r="G237" s="32"/>
      <c r="H237" s="32"/>
    </row>
    <row r="238" spans="1:8" ht="29.25" customHeight="1" x14ac:dyDescent="0.2">
      <c r="A238" s="32"/>
      <c r="B238" s="32"/>
      <c r="C238" s="32"/>
      <c r="D238" s="32"/>
      <c r="E238" s="32" t="s">
        <v>1473</v>
      </c>
      <c r="F238" s="32"/>
      <c r="G238" s="32"/>
      <c r="H238" s="32"/>
    </row>
    <row r="239" spans="1:8" ht="29.25" customHeight="1" x14ac:dyDescent="0.2">
      <c r="A239" s="32"/>
      <c r="B239" s="32"/>
      <c r="C239" s="32"/>
      <c r="D239" s="32"/>
      <c r="E239" s="32" t="s">
        <v>1474</v>
      </c>
      <c r="F239" s="32"/>
      <c r="G239" s="32"/>
      <c r="H239" s="32"/>
    </row>
    <row r="240" spans="1:8" ht="16" x14ac:dyDescent="0.2">
      <c r="A240" s="32"/>
      <c r="B240" s="32"/>
      <c r="C240" s="32"/>
      <c r="D240" s="32"/>
      <c r="E240" s="32" t="s">
        <v>1475</v>
      </c>
      <c r="F240" s="32"/>
      <c r="G240" s="32"/>
      <c r="H240" s="32"/>
    </row>
    <row r="241" spans="1:9" s="33" customFormat="1" ht="16" x14ac:dyDescent="0.2">
      <c r="E241" s="32" t="s">
        <v>1476</v>
      </c>
      <c r="I241" s="138"/>
    </row>
    <row r="242" spans="1:9" ht="32" x14ac:dyDescent="0.2">
      <c r="A242" s="33"/>
      <c r="B242" s="33"/>
      <c r="C242" s="33"/>
      <c r="D242" s="33"/>
      <c r="E242" s="32" t="s">
        <v>1636</v>
      </c>
      <c r="F242" s="33"/>
      <c r="G242" s="33"/>
      <c r="H242" s="33"/>
    </row>
    <row r="243" spans="1:9" ht="32" x14ac:dyDescent="0.2">
      <c r="A243" s="33"/>
      <c r="B243" s="33"/>
      <c r="C243" s="33"/>
      <c r="D243" s="33"/>
      <c r="E243" s="32" t="s">
        <v>1637</v>
      </c>
      <c r="F243" s="33"/>
      <c r="G243" s="33"/>
      <c r="H243" s="33"/>
    </row>
    <row r="244" spans="1:9" ht="32" x14ac:dyDescent="0.2">
      <c r="A244" s="33"/>
      <c r="B244" s="33"/>
      <c r="C244" s="33"/>
      <c r="D244" s="33"/>
      <c r="E244" s="32" t="s">
        <v>1638</v>
      </c>
      <c r="F244" s="33"/>
      <c r="G244" s="33"/>
      <c r="H244" s="33"/>
    </row>
    <row r="245" spans="1:9" ht="64" x14ac:dyDescent="0.2">
      <c r="A245" s="32" t="s">
        <v>5</v>
      </c>
      <c r="B245" s="32" t="s">
        <v>839</v>
      </c>
      <c r="C245" s="32" t="s">
        <v>394</v>
      </c>
      <c r="D245" s="32" t="s">
        <v>840</v>
      </c>
      <c r="E245" s="32" t="s">
        <v>1477</v>
      </c>
      <c r="F245" s="33"/>
      <c r="G245" s="33"/>
      <c r="H245" s="33"/>
    </row>
    <row r="246" spans="1:9" ht="32" x14ac:dyDescent="0.2">
      <c r="A246" s="33"/>
      <c r="B246" s="33"/>
      <c r="C246" s="33"/>
      <c r="D246" s="33"/>
      <c r="E246" s="32" t="s">
        <v>1478</v>
      </c>
      <c r="F246" s="33"/>
      <c r="G246" s="33"/>
      <c r="H246" s="33"/>
    </row>
    <row r="247" spans="1:9" ht="48" x14ac:dyDescent="0.2">
      <c r="A247" s="33"/>
      <c r="B247" s="33"/>
      <c r="C247" s="33"/>
      <c r="D247" s="33"/>
      <c r="E247" s="32" t="s">
        <v>1479</v>
      </c>
      <c r="F247" s="33"/>
      <c r="G247" s="33"/>
      <c r="H247" s="33"/>
    </row>
    <row r="248" spans="1:9" ht="32" x14ac:dyDescent="0.2">
      <c r="A248" s="33"/>
      <c r="B248" s="33"/>
      <c r="C248" s="33"/>
      <c r="D248" s="33"/>
      <c r="E248" s="32" t="s">
        <v>1480</v>
      </c>
      <c r="F248" s="33"/>
      <c r="G248" s="33"/>
      <c r="H248" s="33"/>
    </row>
    <row r="249" spans="1:9" ht="80" x14ac:dyDescent="0.2">
      <c r="A249" s="33"/>
      <c r="B249" s="33"/>
      <c r="C249" s="33"/>
      <c r="D249" s="33"/>
      <c r="E249" s="32" t="s">
        <v>1481</v>
      </c>
      <c r="F249" s="33"/>
      <c r="G249" s="33"/>
      <c r="H249" s="33"/>
    </row>
    <row r="250" spans="1:9" ht="32" x14ac:dyDescent="0.2">
      <c r="A250" s="33"/>
      <c r="B250" s="33"/>
      <c r="C250" s="33"/>
      <c r="D250" s="33"/>
      <c r="E250" s="32" t="s">
        <v>1482</v>
      </c>
      <c r="F250" s="33"/>
      <c r="G250" s="33"/>
      <c r="H250" s="33"/>
    </row>
    <row r="251" spans="1:9" ht="128" x14ac:dyDescent="0.2">
      <c r="A251" s="33"/>
      <c r="B251" s="33"/>
      <c r="C251" s="33"/>
      <c r="D251" s="33"/>
      <c r="E251" s="32" t="s">
        <v>1483</v>
      </c>
      <c r="F251" s="33"/>
      <c r="G251" s="33"/>
      <c r="H251" s="33"/>
    </row>
    <row r="252" spans="1:9" ht="32" x14ac:dyDescent="0.2">
      <c r="A252" s="33"/>
      <c r="B252" s="33"/>
      <c r="C252" s="33"/>
      <c r="D252" s="33"/>
      <c r="E252" s="32" t="s">
        <v>1484</v>
      </c>
      <c r="F252" s="33"/>
      <c r="G252" s="33"/>
      <c r="H252" s="33"/>
    </row>
    <row r="253" spans="1:9" ht="32" x14ac:dyDescent="0.2">
      <c r="A253" s="33"/>
      <c r="B253" s="33"/>
      <c r="C253" s="33"/>
      <c r="D253" s="33"/>
      <c r="E253" s="32" t="s">
        <v>1485</v>
      </c>
      <c r="F253" s="33"/>
      <c r="G253" s="33"/>
      <c r="H253" s="33"/>
    </row>
    <row r="254" spans="1:9" ht="48" x14ac:dyDescent="0.2">
      <c r="A254" s="33"/>
      <c r="B254" s="33"/>
      <c r="C254" s="33"/>
      <c r="D254" s="33"/>
      <c r="E254" s="32" t="s">
        <v>1486</v>
      </c>
      <c r="F254" s="33"/>
      <c r="G254" s="33"/>
      <c r="H254" s="33"/>
    </row>
    <row r="255" spans="1:9" ht="32" x14ac:dyDescent="0.2">
      <c r="A255" s="33"/>
      <c r="B255" s="33"/>
      <c r="C255" s="33"/>
      <c r="D255" s="33"/>
      <c r="E255" s="32" t="s">
        <v>1487</v>
      </c>
      <c r="F255" s="33"/>
      <c r="G255" s="33"/>
      <c r="H255" s="33"/>
    </row>
    <row r="256" spans="1:9" ht="80" x14ac:dyDescent="0.2">
      <c r="A256" s="33"/>
      <c r="B256" s="33"/>
      <c r="C256" s="33"/>
      <c r="D256" s="33"/>
      <c r="E256" s="32" t="s">
        <v>1488</v>
      </c>
      <c r="F256" s="33"/>
      <c r="G256" s="33"/>
      <c r="H256" s="33"/>
    </row>
    <row r="257" spans="1:8" ht="32" x14ac:dyDescent="0.2">
      <c r="A257" s="33"/>
      <c r="B257" s="33"/>
      <c r="C257" s="33"/>
      <c r="D257" s="33"/>
      <c r="E257" s="32" t="s">
        <v>1489</v>
      </c>
      <c r="F257" s="33"/>
      <c r="G257" s="33"/>
      <c r="H257" s="33"/>
    </row>
    <row r="258" spans="1:8" ht="128" x14ac:dyDescent="0.2">
      <c r="A258" s="33"/>
      <c r="B258" s="33"/>
      <c r="C258" s="33"/>
      <c r="D258" s="33"/>
      <c r="E258" s="32" t="s">
        <v>1490</v>
      </c>
      <c r="F258" s="33"/>
      <c r="G258" s="33"/>
      <c r="H258" s="33"/>
    </row>
    <row r="259" spans="1:8" ht="32" x14ac:dyDescent="0.2">
      <c r="A259" s="33"/>
      <c r="B259" s="33"/>
      <c r="C259" s="33"/>
      <c r="D259" s="33"/>
      <c r="E259" s="32" t="s">
        <v>1491</v>
      </c>
      <c r="F259" s="33"/>
      <c r="G259" s="33"/>
      <c r="H259" s="33"/>
    </row>
    <row r="260" spans="1:8" ht="32" x14ac:dyDescent="0.2">
      <c r="A260" s="33"/>
      <c r="B260" s="33"/>
      <c r="C260" s="33"/>
      <c r="D260" s="33"/>
      <c r="E260" s="32" t="s">
        <v>1492</v>
      </c>
      <c r="F260" s="33"/>
      <c r="G260" s="33"/>
      <c r="H260" s="33"/>
    </row>
    <row r="261" spans="1:8" ht="48" x14ac:dyDescent="0.2">
      <c r="A261" s="33"/>
      <c r="B261" s="33"/>
      <c r="C261" s="33"/>
      <c r="D261" s="33"/>
      <c r="E261" s="32" t="s">
        <v>1493</v>
      </c>
      <c r="F261" s="33"/>
      <c r="G261" s="33"/>
      <c r="H261" s="33"/>
    </row>
    <row r="262" spans="1:8" ht="32" x14ac:dyDescent="0.2">
      <c r="A262" s="33"/>
      <c r="B262" s="33"/>
      <c r="C262" s="33"/>
      <c r="D262" s="33"/>
      <c r="E262" s="32" t="s">
        <v>1494</v>
      </c>
      <c r="F262" s="33"/>
      <c r="G262" s="33"/>
      <c r="H262" s="33"/>
    </row>
    <row r="263" spans="1:8" ht="80" x14ac:dyDescent="0.2">
      <c r="A263" s="33"/>
      <c r="B263" s="33"/>
      <c r="C263" s="33"/>
      <c r="D263" s="33"/>
      <c r="E263" s="32" t="s">
        <v>1495</v>
      </c>
      <c r="F263" s="33"/>
      <c r="G263" s="33"/>
      <c r="H263" s="33"/>
    </row>
    <row r="264" spans="1:8" ht="32" x14ac:dyDescent="0.2">
      <c r="A264" s="33"/>
      <c r="B264" s="33"/>
      <c r="C264" s="33"/>
      <c r="D264" s="33"/>
      <c r="E264" s="32" t="s">
        <v>1496</v>
      </c>
      <c r="F264" s="33"/>
      <c r="G264" s="33"/>
      <c r="H264" s="33"/>
    </row>
    <row r="265" spans="1:8" ht="128" x14ac:dyDescent="0.2">
      <c r="A265" s="33"/>
      <c r="B265" s="33"/>
      <c r="C265" s="33"/>
      <c r="D265" s="33"/>
      <c r="E265" s="32" t="s">
        <v>1497</v>
      </c>
      <c r="F265" s="33"/>
      <c r="G265" s="33"/>
      <c r="H265" s="33"/>
    </row>
    <row r="266" spans="1:8" ht="32" x14ac:dyDescent="0.2">
      <c r="A266" s="33"/>
      <c r="B266" s="33"/>
      <c r="C266" s="33"/>
      <c r="D266" s="33"/>
      <c r="E266" s="32" t="s">
        <v>1498</v>
      </c>
      <c r="F266" s="33"/>
      <c r="G266" s="33"/>
      <c r="H266" s="33"/>
    </row>
    <row r="267" spans="1:8" ht="32" x14ac:dyDescent="0.2">
      <c r="A267" s="33"/>
      <c r="B267" s="33"/>
      <c r="C267" s="33"/>
      <c r="D267" s="33"/>
      <c r="E267" s="32" t="s">
        <v>1499</v>
      </c>
      <c r="F267" s="33"/>
      <c r="G267" s="33"/>
      <c r="H267" s="33"/>
    </row>
    <row r="268" spans="1:8" ht="48" x14ac:dyDescent="0.2">
      <c r="A268" s="33"/>
      <c r="B268" s="33"/>
      <c r="C268" s="33"/>
      <c r="D268" s="33"/>
      <c r="E268" s="32" t="s">
        <v>1500</v>
      </c>
      <c r="F268" s="33"/>
      <c r="G268" s="33"/>
      <c r="H268" s="33"/>
    </row>
    <row r="269" spans="1:8" ht="32" x14ac:dyDescent="0.2">
      <c r="A269" s="33"/>
      <c r="B269" s="33"/>
      <c r="C269" s="33"/>
      <c r="D269" s="33"/>
      <c r="E269" s="32" t="s">
        <v>1501</v>
      </c>
      <c r="F269" s="33"/>
      <c r="G269" s="33"/>
      <c r="H269" s="33"/>
    </row>
    <row r="270" spans="1:8" ht="80" x14ac:dyDescent="0.2">
      <c r="A270" s="33"/>
      <c r="B270" s="33"/>
      <c r="C270" s="33"/>
      <c r="D270" s="33"/>
      <c r="E270" s="32" t="s">
        <v>1502</v>
      </c>
      <c r="F270" s="33"/>
      <c r="G270" s="33"/>
      <c r="H270" s="33"/>
    </row>
    <row r="271" spans="1:8" ht="32" x14ac:dyDescent="0.2">
      <c r="A271" s="33"/>
      <c r="B271" s="33"/>
      <c r="C271" s="33"/>
      <c r="D271" s="33"/>
      <c r="E271" s="32" t="s">
        <v>1503</v>
      </c>
      <c r="F271" s="33"/>
      <c r="G271" s="33"/>
      <c r="H271" s="33"/>
    </row>
    <row r="272" spans="1:8" ht="192" x14ac:dyDescent="0.2">
      <c r="A272" s="33"/>
      <c r="B272" s="33"/>
      <c r="C272" s="33"/>
      <c r="D272" s="33"/>
      <c r="E272" s="32" t="s">
        <v>1504</v>
      </c>
      <c r="F272" s="33"/>
      <c r="G272" s="33"/>
      <c r="H272" s="33"/>
    </row>
    <row r="273" spans="1:8" ht="112" x14ac:dyDescent="0.2">
      <c r="A273" s="33" t="s">
        <v>5</v>
      </c>
      <c r="B273" s="32" t="s">
        <v>1068</v>
      </c>
      <c r="C273" s="33" t="s">
        <v>394</v>
      </c>
      <c r="D273" s="32" t="s">
        <v>1069</v>
      </c>
      <c r="E273" s="32" t="s">
        <v>1505</v>
      </c>
      <c r="F273" s="33"/>
      <c r="G273" s="33"/>
      <c r="H273" s="33"/>
    </row>
    <row r="274" spans="1:8" ht="32" x14ac:dyDescent="0.2">
      <c r="A274" s="33"/>
      <c r="B274" s="33"/>
      <c r="C274" s="33"/>
      <c r="D274" s="32"/>
      <c r="E274" s="32" t="s">
        <v>1506</v>
      </c>
      <c r="F274" s="33"/>
      <c r="G274" s="33"/>
      <c r="H274" s="33"/>
    </row>
    <row r="275" spans="1:8" ht="48" x14ac:dyDescent="0.2">
      <c r="A275" s="33"/>
      <c r="B275" s="33"/>
      <c r="C275" s="33"/>
      <c r="D275" s="32"/>
      <c r="E275" s="32" t="s">
        <v>1507</v>
      </c>
      <c r="F275" s="33"/>
      <c r="G275" s="33"/>
      <c r="H275" s="33"/>
    </row>
    <row r="276" spans="1:8" ht="32" x14ac:dyDescent="0.2">
      <c r="A276" s="33"/>
      <c r="B276" s="33"/>
      <c r="C276" s="33"/>
      <c r="D276" s="32"/>
      <c r="E276" s="32" t="s">
        <v>1508</v>
      </c>
      <c r="F276" s="33"/>
      <c r="G276" s="33"/>
      <c r="H276" s="33"/>
    </row>
    <row r="277" spans="1:8" x14ac:dyDescent="0.2">
      <c r="A277" s="33" t="s">
        <v>4</v>
      </c>
      <c r="B277" s="33"/>
      <c r="C277" s="33"/>
      <c r="D277" s="33"/>
      <c r="E277" s="33"/>
      <c r="F277" s="33"/>
      <c r="G277" s="33"/>
      <c r="H277" s="33"/>
    </row>
    <row r="278" spans="1:8" ht="101.5" customHeight="1" x14ac:dyDescent="0.2">
      <c r="A278" s="32" t="s">
        <v>5</v>
      </c>
      <c r="B278" s="32" t="s">
        <v>841</v>
      </c>
      <c r="C278" s="32" t="s">
        <v>394</v>
      </c>
      <c r="D278" s="32" t="s">
        <v>842</v>
      </c>
      <c r="E278" s="32" t="s">
        <v>1509</v>
      </c>
      <c r="F278" s="32"/>
      <c r="G278" s="32"/>
      <c r="H278" s="32"/>
    </row>
    <row r="279" spans="1:8" ht="43.5" customHeight="1" x14ac:dyDescent="0.2">
      <c r="A279" s="32"/>
      <c r="B279" s="32"/>
      <c r="C279" s="32"/>
      <c r="D279" s="32"/>
      <c r="E279" s="32" t="s">
        <v>1510</v>
      </c>
      <c r="F279" s="32"/>
      <c r="G279" s="32"/>
      <c r="H279" s="32"/>
    </row>
    <row r="280" spans="1:8" ht="43.5" customHeight="1" x14ac:dyDescent="0.2">
      <c r="A280" s="32"/>
      <c r="B280" s="32"/>
      <c r="C280" s="32"/>
      <c r="D280" s="32"/>
      <c r="E280" s="32" t="s">
        <v>1511</v>
      </c>
      <c r="F280" s="32"/>
      <c r="G280" s="32"/>
      <c r="H280" s="32"/>
    </row>
    <row r="281" spans="1:8" ht="116.25" customHeight="1" x14ac:dyDescent="0.2">
      <c r="A281" s="32" t="s">
        <v>5</v>
      </c>
      <c r="B281" s="32" t="s">
        <v>843</v>
      </c>
      <c r="C281" s="32" t="s">
        <v>394</v>
      </c>
      <c r="D281" s="32" t="s">
        <v>844</v>
      </c>
      <c r="E281" s="32" t="s">
        <v>1512</v>
      </c>
      <c r="F281" s="32"/>
      <c r="G281" s="32"/>
      <c r="H281" s="32"/>
    </row>
    <row r="282" spans="1:8" ht="43.5" customHeight="1" x14ac:dyDescent="0.2">
      <c r="A282" s="32"/>
      <c r="B282" s="32"/>
      <c r="C282" s="32"/>
      <c r="D282" s="32"/>
      <c r="E282" s="32" t="s">
        <v>1513</v>
      </c>
      <c r="F282" s="32"/>
      <c r="G282" s="32"/>
      <c r="H282" s="32"/>
    </row>
    <row r="283" spans="1:8" ht="43.5" customHeight="1" x14ac:dyDescent="0.2">
      <c r="A283" s="32"/>
      <c r="B283" s="32"/>
      <c r="C283" s="32"/>
      <c r="D283" s="32"/>
      <c r="E283" s="32" t="s">
        <v>1514</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x14ac:dyDescent="0.2">
      <c r="A1" s="146" t="s">
        <v>704</v>
      </c>
      <c r="B1" s="147"/>
      <c r="C1" s="147"/>
      <c r="D1" s="147"/>
      <c r="E1" s="147"/>
      <c r="F1" s="148"/>
      <c r="G1" s="149" t="s">
        <v>1023</v>
      </c>
      <c r="H1" s="150"/>
      <c r="I1" s="151"/>
    </row>
    <row r="2" spans="1:9" x14ac:dyDescent="0.2">
      <c r="A2" s="37" t="s">
        <v>0</v>
      </c>
      <c r="B2" s="36" t="s">
        <v>6</v>
      </c>
      <c r="C2" s="36" t="s">
        <v>288</v>
      </c>
      <c r="D2" s="36" t="s">
        <v>289</v>
      </c>
      <c r="E2" s="36" t="s">
        <v>290</v>
      </c>
      <c r="F2" s="36" t="s">
        <v>291</v>
      </c>
      <c r="G2" s="36" t="s">
        <v>292</v>
      </c>
      <c r="H2" s="36" t="s">
        <v>293</v>
      </c>
      <c r="I2" s="37" t="s">
        <v>825</v>
      </c>
    </row>
    <row r="3" spans="1:9" ht="28.75" customHeight="1" x14ac:dyDescent="0.2">
      <c r="A3" s="39" t="s">
        <v>4</v>
      </c>
      <c r="B3" s="33"/>
      <c r="C3" s="33"/>
      <c r="D3" s="33"/>
      <c r="E3" s="33"/>
      <c r="F3" s="33"/>
      <c r="G3" s="33"/>
      <c r="H3" s="33"/>
      <c r="I3" s="38"/>
    </row>
    <row r="4" spans="1:9" x14ac:dyDescent="0.2">
      <c r="A4" s="53" t="s">
        <v>5</v>
      </c>
      <c r="B4" s="53" t="s">
        <v>394</v>
      </c>
      <c r="C4" s="53" t="s">
        <v>294</v>
      </c>
      <c r="D4" s="53" t="s">
        <v>295</v>
      </c>
      <c r="E4" s="53" t="s">
        <v>296</v>
      </c>
      <c r="F4" s="53" t="s">
        <v>1515</v>
      </c>
      <c r="G4" s="53" t="b">
        <v>0</v>
      </c>
      <c r="H4" s="53" t="s">
        <v>297</v>
      </c>
      <c r="I4" s="53" t="s">
        <v>798</v>
      </c>
    </row>
    <row r="5" spans="1:9" ht="32" x14ac:dyDescent="0.2">
      <c r="A5" s="53" t="s">
        <v>5</v>
      </c>
      <c r="B5" s="53" t="s">
        <v>394</v>
      </c>
      <c r="C5" s="53" t="s">
        <v>294</v>
      </c>
      <c r="D5" s="53" t="s">
        <v>295</v>
      </c>
      <c r="E5" s="53" t="s">
        <v>298</v>
      </c>
      <c r="F5" s="53" t="s">
        <v>1516</v>
      </c>
      <c r="G5" s="53" t="b">
        <v>0</v>
      </c>
      <c r="H5" s="54" t="s">
        <v>420</v>
      </c>
      <c r="I5" s="53"/>
    </row>
    <row r="6" spans="1:9" ht="28.75" customHeight="1" x14ac:dyDescent="0.2">
      <c r="A6" s="53" t="s">
        <v>5</v>
      </c>
      <c r="B6" s="53" t="s">
        <v>394</v>
      </c>
      <c r="C6" s="53" t="s">
        <v>299</v>
      </c>
      <c r="D6" s="53" t="s">
        <v>1517</v>
      </c>
      <c r="E6" s="53" t="s">
        <v>300</v>
      </c>
      <c r="F6" s="53" t="s">
        <v>1518</v>
      </c>
      <c r="G6" s="53" t="b">
        <v>0</v>
      </c>
      <c r="H6" s="53"/>
      <c r="I6" s="53"/>
    </row>
    <row r="7" spans="1:9" x14ac:dyDescent="0.2">
      <c r="A7" s="53" t="s">
        <v>5</v>
      </c>
      <c r="B7" s="53" t="s">
        <v>347</v>
      </c>
      <c r="C7" s="53" t="s">
        <v>91</v>
      </c>
      <c r="D7" s="53" t="s">
        <v>414</v>
      </c>
      <c r="E7" s="53" t="s">
        <v>301</v>
      </c>
      <c r="F7" s="53" t="s">
        <v>1519</v>
      </c>
      <c r="G7" s="53" t="b">
        <v>0</v>
      </c>
      <c r="H7" s="53"/>
      <c r="I7" s="53"/>
    </row>
    <row r="8" spans="1:9" ht="28.75" customHeight="1" x14ac:dyDescent="0.2">
      <c r="A8" s="53" t="s">
        <v>5</v>
      </c>
      <c r="B8" s="53" t="s">
        <v>347</v>
      </c>
      <c r="C8" s="53" t="s">
        <v>91</v>
      </c>
      <c r="D8" s="53" t="s">
        <v>414</v>
      </c>
      <c r="E8" s="53" t="s">
        <v>302</v>
      </c>
      <c r="F8" s="53" t="s">
        <v>1520</v>
      </c>
      <c r="G8" s="53" t="b">
        <v>0</v>
      </c>
      <c r="H8" s="53"/>
      <c r="I8" s="53"/>
    </row>
    <row r="9" spans="1:9" ht="28.75" customHeight="1" x14ac:dyDescent="0.2">
      <c r="A9" s="53" t="s">
        <v>5</v>
      </c>
      <c r="B9" s="53" t="s">
        <v>347</v>
      </c>
      <c r="C9" s="53" t="s">
        <v>303</v>
      </c>
      <c r="D9" s="53" t="s">
        <v>1521</v>
      </c>
      <c r="E9" s="53" t="s">
        <v>304</v>
      </c>
      <c r="F9" s="53" t="s">
        <v>305</v>
      </c>
      <c r="G9" s="53" t="b">
        <v>1</v>
      </c>
      <c r="H9" s="53"/>
      <c r="I9" s="53" t="s">
        <v>799</v>
      </c>
    </row>
    <row r="10" spans="1:9" x14ac:dyDescent="0.2">
      <c r="A10" s="53" t="s">
        <v>5</v>
      </c>
      <c r="B10" s="53" t="s">
        <v>347</v>
      </c>
      <c r="C10" s="53" t="s">
        <v>303</v>
      </c>
      <c r="D10" s="53" t="s">
        <v>1521</v>
      </c>
      <c r="E10" s="53" t="s">
        <v>306</v>
      </c>
      <c r="F10" s="53" t="s">
        <v>1522</v>
      </c>
      <c r="G10" s="53" t="b">
        <v>0</v>
      </c>
      <c r="H10" s="53"/>
      <c r="I10" s="53"/>
    </row>
    <row r="11" spans="1:9" ht="28.75" customHeight="1" x14ac:dyDescent="0.2">
      <c r="A11" s="53" t="s">
        <v>5</v>
      </c>
      <c r="B11" s="53" t="s">
        <v>347</v>
      </c>
      <c r="C11" s="53" t="s">
        <v>303</v>
      </c>
      <c r="D11" s="53" t="s">
        <v>1521</v>
      </c>
      <c r="E11" s="53" t="s">
        <v>307</v>
      </c>
      <c r="F11" s="53" t="s">
        <v>1523</v>
      </c>
      <c r="G11" s="53" t="b">
        <v>0</v>
      </c>
      <c r="H11" s="53"/>
      <c r="I11" s="53"/>
    </row>
    <row r="12" spans="1:9" x14ac:dyDescent="0.2">
      <c r="A12" s="53" t="s">
        <v>5</v>
      </c>
      <c r="B12" s="53" t="s">
        <v>347</v>
      </c>
      <c r="C12" s="53" t="s">
        <v>303</v>
      </c>
      <c r="D12" s="53" t="s">
        <v>1521</v>
      </c>
      <c r="E12" s="53" t="s">
        <v>308</v>
      </c>
      <c r="F12" s="53" t="s">
        <v>1524</v>
      </c>
      <c r="G12" s="53" t="b">
        <v>0</v>
      </c>
      <c r="H12" s="53"/>
      <c r="I12" s="53" t="s">
        <v>364</v>
      </c>
    </row>
    <row r="13" spans="1:9" x14ac:dyDescent="0.2">
      <c r="A13" s="53" t="s">
        <v>5</v>
      </c>
      <c r="B13" s="53" t="s">
        <v>394</v>
      </c>
      <c r="C13" s="53" t="s">
        <v>800</v>
      </c>
      <c r="D13" s="53" t="s">
        <v>740</v>
      </c>
      <c r="E13" s="53" t="s">
        <v>627</v>
      </c>
      <c r="F13" s="53" t="s">
        <v>628</v>
      </c>
      <c r="G13" s="53" t="b">
        <v>1</v>
      </c>
      <c r="H13" s="53"/>
      <c r="I13" s="53" t="s">
        <v>796</v>
      </c>
    </row>
    <row r="14" spans="1:9" x14ac:dyDescent="0.2">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42" t="s">
        <v>1082</v>
      </c>
      <c r="B1" s="142"/>
      <c r="C1" s="142"/>
      <c r="D1" s="142"/>
      <c r="E1" s="142"/>
    </row>
    <row r="2" spans="1:5" x14ac:dyDescent="0.2">
      <c r="A2" s="109" t="s">
        <v>0</v>
      </c>
      <c r="B2" s="110" t="s">
        <v>1</v>
      </c>
      <c r="C2" s="110" t="s">
        <v>2</v>
      </c>
      <c r="D2" s="110" t="s">
        <v>1083</v>
      </c>
      <c r="E2" s="111" t="s">
        <v>417</v>
      </c>
    </row>
    <row r="3" spans="1:5" ht="112" x14ac:dyDescent="0.2">
      <c r="A3" s="64" t="s">
        <v>5</v>
      </c>
      <c r="B3" s="64" t="s">
        <v>1084</v>
      </c>
      <c r="C3" s="64" t="s">
        <v>1085</v>
      </c>
      <c r="D3" s="32" t="s">
        <v>1086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9" bestFit="1" customWidth="1"/>
    <col min="9" max="9" width="16.5" style="120" bestFit="1" customWidth="1"/>
    <col min="10" max="10" width="15.6640625" style="120" bestFit="1" customWidth="1"/>
    <col min="11" max="11" width="15.33203125" bestFit="1" customWidth="1"/>
    <col min="12" max="13" width="65.6640625" customWidth="1"/>
    <col min="14" max="14" width="41.5" style="121" customWidth="1"/>
  </cols>
  <sheetData>
    <row r="1" spans="1:14" s="40" customFormat="1" ht="207" customHeight="1" x14ac:dyDescent="0.2">
      <c r="A1" s="142" t="s">
        <v>1191</v>
      </c>
      <c r="B1" s="144"/>
      <c r="C1" s="144"/>
      <c r="D1" s="144"/>
      <c r="E1" s="144"/>
      <c r="F1" s="144"/>
      <c r="G1" s="144"/>
      <c r="H1" s="144"/>
      <c r="I1" s="144"/>
      <c r="J1" s="144"/>
      <c r="K1" s="144"/>
      <c r="L1" s="144"/>
      <c r="M1" s="144"/>
      <c r="N1" s="145"/>
    </row>
    <row r="2" spans="1:14" ht="16" x14ac:dyDescent="0.2">
      <c r="A2" s="109" t="s">
        <v>0</v>
      </c>
      <c r="B2" s="110" t="s">
        <v>1</v>
      </c>
      <c r="C2" s="110" t="s">
        <v>2</v>
      </c>
      <c r="D2" s="110" t="s">
        <v>1087</v>
      </c>
      <c r="E2" s="111" t="s">
        <v>1088</v>
      </c>
      <c r="F2" s="111" t="s">
        <v>1089</v>
      </c>
      <c r="G2" s="111" t="s">
        <v>1090</v>
      </c>
      <c r="H2" s="112" t="s">
        <v>1091</v>
      </c>
      <c r="I2" s="113" t="s">
        <v>1092</v>
      </c>
      <c r="J2" s="113" t="s">
        <v>1093</v>
      </c>
      <c r="K2" s="111" t="s">
        <v>1094</v>
      </c>
      <c r="L2" s="111" t="s">
        <v>1095</v>
      </c>
      <c r="M2" s="111" t="s">
        <v>1096</v>
      </c>
      <c r="N2" s="114" t="s">
        <v>417</v>
      </c>
    </row>
    <row r="3" spans="1:14" ht="29" customHeight="1" x14ac:dyDescent="0.2">
      <c r="A3" s="32" t="s">
        <v>5</v>
      </c>
      <c r="B3" s="32" t="s">
        <v>1097</v>
      </c>
      <c r="C3" s="32" t="s">
        <v>1098</v>
      </c>
      <c r="D3" s="32" t="s">
        <v>1099</v>
      </c>
      <c r="E3" s="32" t="s">
        <v>394</v>
      </c>
      <c r="F3" s="32" t="s">
        <v>1100</v>
      </c>
      <c r="G3" s="32">
        <v>10</v>
      </c>
      <c r="H3" s="115"/>
      <c r="I3" s="116" t="s">
        <v>1101</v>
      </c>
      <c r="J3" s="116" t="s">
        <v>1102</v>
      </c>
      <c r="K3" s="32"/>
      <c r="L3" s="32"/>
      <c r="M3" s="32"/>
      <c r="N3" s="32"/>
    </row>
    <row r="4" spans="1:14" ht="28" customHeight="1" x14ac:dyDescent="0.2">
      <c r="A4" s="32" t="s">
        <v>5</v>
      </c>
      <c r="B4" s="32" t="s">
        <v>1103</v>
      </c>
      <c r="C4" s="32" t="s">
        <v>1104</v>
      </c>
      <c r="D4" s="32" t="s">
        <v>1105</v>
      </c>
      <c r="E4" s="32" t="s">
        <v>1106</v>
      </c>
      <c r="F4" s="32" t="s">
        <v>1107</v>
      </c>
      <c r="G4" s="32">
        <v>100</v>
      </c>
      <c r="H4" s="115">
        <v>5</v>
      </c>
      <c r="I4" s="116"/>
      <c r="J4" s="116"/>
      <c r="K4" s="32" t="s">
        <v>1108</v>
      </c>
      <c r="L4" s="117"/>
      <c r="M4" s="32"/>
      <c r="N4" s="118"/>
    </row>
    <row r="5" spans="1:14" ht="16" x14ac:dyDescent="0.2">
      <c r="A5" s="32"/>
      <c r="B5" s="32"/>
      <c r="C5" s="32"/>
      <c r="D5" s="32"/>
      <c r="E5" s="32"/>
      <c r="F5" s="32"/>
      <c r="G5" s="32"/>
      <c r="H5" s="115"/>
      <c r="I5" s="116"/>
      <c r="J5" s="116"/>
      <c r="K5" s="32" t="s">
        <v>1109</v>
      </c>
      <c r="L5" s="33" t="s">
        <v>1110</v>
      </c>
      <c r="M5" s="32" t="s">
        <v>1111</v>
      </c>
      <c r="N5" s="118"/>
    </row>
    <row r="6" spans="1:14" ht="16" x14ac:dyDescent="0.2">
      <c r="A6" s="32"/>
      <c r="B6" s="32"/>
      <c r="C6" s="32"/>
      <c r="D6" s="32"/>
      <c r="E6" s="32"/>
      <c r="F6" s="32"/>
      <c r="G6" s="32"/>
      <c r="H6" s="115"/>
      <c r="I6" s="116"/>
      <c r="J6" s="116"/>
      <c r="K6" s="32" t="s">
        <v>1112</v>
      </c>
      <c r="L6" s="33" t="s">
        <v>1113</v>
      </c>
      <c r="M6" s="32"/>
      <c r="N6" s="118"/>
    </row>
    <row r="7" spans="1:14" ht="15.75" customHeight="1" x14ac:dyDescent="0.2">
      <c r="A7" s="32" t="s">
        <v>4</v>
      </c>
      <c r="B7" s="32"/>
      <c r="C7" s="32"/>
      <c r="D7" s="32"/>
      <c r="E7" s="32"/>
      <c r="F7" s="32"/>
      <c r="G7" s="32"/>
      <c r="H7" s="115"/>
      <c r="I7" s="116"/>
      <c r="J7" s="116"/>
      <c r="K7" s="32"/>
      <c r="L7" s="32"/>
      <c r="M7" s="32"/>
      <c r="N7" s="118"/>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tabSelected="1" workbookViewId="0">
      <selection activeCell="F14" sqref="F14"/>
    </sheetView>
  </sheetViews>
  <sheetFormatPr baseColWidth="10" defaultColWidth="8.83203125" defaultRowHeight="15" x14ac:dyDescent="0.2"/>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6" t="s">
        <v>1639</v>
      </c>
      <c r="B1" s="147"/>
      <c r="C1" s="147"/>
      <c r="D1" s="147"/>
      <c r="E1" s="147"/>
      <c r="F1" s="147"/>
      <c r="G1" s="147"/>
      <c r="H1" s="147"/>
      <c r="I1" s="148"/>
      <c r="J1" s="146" t="s">
        <v>1527</v>
      </c>
      <c r="K1" s="147"/>
      <c r="L1" s="147"/>
      <c r="M1" s="147"/>
      <c r="N1" s="147"/>
      <c r="O1" s="148"/>
    </row>
    <row r="2" spans="1:15" s="40" customFormat="1" ht="45" customHeight="1" x14ac:dyDescent="0.2">
      <c r="A2" s="4" t="s">
        <v>0</v>
      </c>
      <c r="B2" s="4" t="s">
        <v>6</v>
      </c>
      <c r="C2" s="4" t="s">
        <v>10</v>
      </c>
      <c r="D2" s="4" t="s">
        <v>782</v>
      </c>
      <c r="E2" s="15" t="s">
        <v>1640</v>
      </c>
      <c r="F2" s="15" t="s">
        <v>1604</v>
      </c>
      <c r="G2" s="15" t="s">
        <v>1605</v>
      </c>
      <c r="H2" s="4" t="s">
        <v>12</v>
      </c>
      <c r="I2" s="4" t="s">
        <v>13</v>
      </c>
      <c r="J2" s="4" t="s">
        <v>14</v>
      </c>
      <c r="K2" s="4" t="s">
        <v>15</v>
      </c>
      <c r="L2" s="4" t="s">
        <v>16</v>
      </c>
      <c r="M2" s="4" t="s">
        <v>17</v>
      </c>
      <c r="N2" s="4" t="s">
        <v>18</v>
      </c>
      <c r="O2" s="26" t="s">
        <v>417</v>
      </c>
    </row>
    <row r="3" spans="1:15" ht="32" x14ac:dyDescent="0.2">
      <c r="A3" s="32" t="s">
        <v>313</v>
      </c>
      <c r="B3" s="32" t="s">
        <v>347</v>
      </c>
      <c r="C3" s="33" t="s">
        <v>569</v>
      </c>
      <c r="D3" s="33" t="s">
        <v>20</v>
      </c>
      <c r="E3" s="32" t="b">
        <v>1</v>
      </c>
      <c r="F3" s="32" t="s">
        <v>1606</v>
      </c>
      <c r="G3" s="33"/>
      <c r="H3" s="33" t="s">
        <v>570</v>
      </c>
      <c r="I3" s="33" t="s">
        <v>21</v>
      </c>
      <c r="J3" s="33" t="s">
        <v>21</v>
      </c>
      <c r="K3" s="33" t="s">
        <v>21</v>
      </c>
      <c r="L3" s="33" t="s">
        <v>761</v>
      </c>
      <c r="M3" s="33" t="s">
        <v>760</v>
      </c>
      <c r="N3" s="33"/>
      <c r="O3" s="32"/>
    </row>
    <row r="4" spans="1:15" s="30" customFormat="1" ht="16" x14ac:dyDescent="0.2">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x14ac:dyDescent="0.2">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x14ac:dyDescent="0.2">
      <c r="A6" s="33" t="s">
        <v>4</v>
      </c>
      <c r="B6" s="32"/>
      <c r="C6" s="33"/>
      <c r="D6" s="33"/>
      <c r="E6" s="33"/>
      <c r="F6" s="33"/>
      <c r="G6" s="33"/>
      <c r="H6" s="33"/>
      <c r="I6" s="33"/>
      <c r="J6" s="33"/>
      <c r="K6" s="33"/>
      <c r="L6" s="33"/>
      <c r="M6" s="33"/>
      <c r="N6" s="33"/>
      <c r="O6" s="28"/>
    </row>
    <row r="7" spans="1:15" ht="28.75" customHeight="1" x14ac:dyDescent="0.2">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x14ac:dyDescent="0.2">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x14ac:dyDescent="0.2">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x14ac:dyDescent="0.2">
      <c r="A1" s="142" t="s">
        <v>1528</v>
      </c>
      <c r="B1" s="142"/>
      <c r="C1" s="142"/>
      <c r="D1" s="142"/>
      <c r="E1" s="142"/>
      <c r="F1" s="142"/>
      <c r="G1" s="152" t="s">
        <v>1032</v>
      </c>
      <c r="H1" s="152"/>
      <c r="I1" s="152"/>
    </row>
    <row r="2" spans="1:9" ht="16" x14ac:dyDescent="0.2">
      <c r="A2" s="26" t="s">
        <v>0</v>
      </c>
      <c r="B2" s="26" t="s">
        <v>6</v>
      </c>
      <c r="C2" s="26" t="s">
        <v>635</v>
      </c>
      <c r="D2" s="26" t="s">
        <v>636</v>
      </c>
      <c r="E2" s="26" t="s">
        <v>1033</v>
      </c>
      <c r="F2" s="26" t="s">
        <v>637</v>
      </c>
      <c r="G2" s="82" t="s">
        <v>638</v>
      </c>
      <c r="H2" s="27" t="s">
        <v>639</v>
      </c>
      <c r="I2" s="26" t="s">
        <v>417</v>
      </c>
    </row>
    <row r="3" spans="1:9" ht="29.25" customHeight="1" x14ac:dyDescent="0.2">
      <c r="A3" s="32" t="s">
        <v>313</v>
      </c>
      <c r="B3" s="55" t="s">
        <v>347</v>
      </c>
      <c r="C3" s="32" t="s">
        <v>570</v>
      </c>
      <c r="D3" s="32" t="s">
        <v>768</v>
      </c>
      <c r="E3" s="32"/>
      <c r="F3" s="32" t="s">
        <v>767</v>
      </c>
      <c r="G3" s="32" t="s">
        <v>766</v>
      </c>
      <c r="H3" s="32" t="s">
        <v>645</v>
      </c>
      <c r="I3" s="33"/>
    </row>
    <row r="4" spans="1:9" ht="16" x14ac:dyDescent="0.2">
      <c r="A4" s="104" t="s">
        <v>4</v>
      </c>
      <c r="B4" s="32"/>
      <c r="C4" s="76"/>
      <c r="D4" s="32"/>
      <c r="E4" s="32"/>
      <c r="F4" s="32"/>
      <c r="G4" s="32"/>
      <c r="H4" s="32"/>
      <c r="I4" s="33"/>
    </row>
    <row r="5" spans="1:9" ht="32" x14ac:dyDescent="0.2">
      <c r="A5" s="32" t="s">
        <v>313</v>
      </c>
      <c r="B5" s="32" t="s">
        <v>347</v>
      </c>
      <c r="C5" s="32" t="s">
        <v>570</v>
      </c>
      <c r="D5" s="32" t="s">
        <v>1034</v>
      </c>
      <c r="E5" s="33" t="s">
        <v>1035</v>
      </c>
      <c r="F5" s="32" t="s">
        <v>1036</v>
      </c>
      <c r="G5" s="33"/>
      <c r="H5" s="33"/>
      <c r="I5" s="33"/>
    </row>
    <row r="6" spans="1:9" ht="32" x14ac:dyDescent="0.2">
      <c r="A6" s="32" t="s">
        <v>5</v>
      </c>
      <c r="B6" s="32" t="s">
        <v>347</v>
      </c>
      <c r="C6" s="32" t="s">
        <v>1037</v>
      </c>
      <c r="D6" s="32" t="s">
        <v>1038</v>
      </c>
      <c r="E6" s="33" t="s">
        <v>1039</v>
      </c>
      <c r="F6" s="32" t="s">
        <v>1040</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5.25" customHeight="1" x14ac:dyDescent="0.2">
      <c r="A1" s="142" t="s">
        <v>1024</v>
      </c>
      <c r="B1" s="151"/>
    </row>
    <row r="2" spans="1:2" x14ac:dyDescent="0.2">
      <c r="A2" s="26" t="s">
        <v>25</v>
      </c>
      <c r="B2" s="26" t="s">
        <v>26</v>
      </c>
    </row>
    <row r="3" spans="1:2" x14ac:dyDescent="0.2">
      <c r="A3" s="33" t="s">
        <v>27</v>
      </c>
      <c r="B3" s="33" t="s">
        <v>769</v>
      </c>
    </row>
    <row r="4" spans="1:2" x14ac:dyDescent="0.2">
      <c r="A4" s="33" t="s">
        <v>28</v>
      </c>
      <c r="B4" s="33"/>
    </row>
    <row r="5" spans="1:2" x14ac:dyDescent="0.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x14ac:dyDescent="0.2"/>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42" t="s">
        <v>1025</v>
      </c>
      <c r="B1" s="142"/>
      <c r="C1" s="142"/>
      <c r="D1" s="142"/>
      <c r="E1" s="142"/>
      <c r="F1" s="142"/>
      <c r="G1" s="142"/>
      <c r="H1" s="142"/>
    </row>
    <row r="2" spans="1:8" s="40" customFormat="1" ht="43.5" customHeight="1" x14ac:dyDescent="0.2">
      <c r="A2" s="26" t="s">
        <v>0</v>
      </c>
      <c r="B2" s="26" t="s">
        <v>6</v>
      </c>
      <c r="C2" s="26" t="s">
        <v>10</v>
      </c>
      <c r="D2" s="26" t="s">
        <v>31</v>
      </c>
      <c r="E2" s="27" t="s">
        <v>32</v>
      </c>
      <c r="F2" s="26" t="s">
        <v>33</v>
      </c>
      <c r="G2" s="26" t="s">
        <v>34</v>
      </c>
      <c r="H2" s="26" t="s">
        <v>417</v>
      </c>
    </row>
    <row r="3" spans="1:8" ht="28.75" customHeight="1" x14ac:dyDescent="0.2">
      <c r="A3" s="32" t="s">
        <v>313</v>
      </c>
      <c r="B3" s="32" t="s">
        <v>347</v>
      </c>
      <c r="C3" s="33" t="s">
        <v>569</v>
      </c>
      <c r="D3" s="33" t="s">
        <v>35</v>
      </c>
      <c r="E3" s="33" t="s">
        <v>38</v>
      </c>
      <c r="F3" s="33" t="s">
        <v>772</v>
      </c>
      <c r="G3" s="33"/>
      <c r="H3" s="32"/>
    </row>
    <row r="4" spans="1:8" ht="28.75" customHeight="1" x14ac:dyDescent="0.2">
      <c r="A4" s="32" t="s">
        <v>313</v>
      </c>
      <c r="B4" s="32" t="s">
        <v>347</v>
      </c>
      <c r="C4" s="33" t="s">
        <v>571</v>
      </c>
      <c r="D4" s="33" t="s">
        <v>35</v>
      </c>
      <c r="E4" s="33" t="s">
        <v>38</v>
      </c>
      <c r="F4" s="33" t="s">
        <v>771</v>
      </c>
      <c r="G4" s="33"/>
      <c r="H4" s="33"/>
    </row>
    <row r="5" spans="1:8" ht="28.75" customHeight="1" x14ac:dyDescent="0.2">
      <c r="A5" s="32" t="s">
        <v>313</v>
      </c>
      <c r="B5" s="32" t="s">
        <v>347</v>
      </c>
      <c r="C5" s="33" t="s">
        <v>572</v>
      </c>
      <c r="D5" s="33" t="s">
        <v>35</v>
      </c>
      <c r="E5" s="33" t="s">
        <v>38</v>
      </c>
      <c r="F5" s="33" t="s">
        <v>770</v>
      </c>
      <c r="G5" s="33"/>
      <c r="H5" s="33"/>
    </row>
    <row r="6" spans="1:8" ht="28.75" customHeight="1" x14ac:dyDescent="0.2">
      <c r="A6" s="33" t="s">
        <v>4</v>
      </c>
      <c r="B6" s="32"/>
      <c r="C6" s="33"/>
      <c r="D6" s="33"/>
      <c r="E6" s="33"/>
      <c r="F6" s="33"/>
      <c r="G6" s="33"/>
      <c r="H6" s="33"/>
    </row>
    <row r="7" spans="1:8" ht="28.75" customHeight="1" x14ac:dyDescent="0.2">
      <c r="A7" s="53" t="s">
        <v>5</v>
      </c>
      <c r="B7" s="53" t="s">
        <v>347</v>
      </c>
      <c r="C7" s="53" t="s">
        <v>19</v>
      </c>
      <c r="D7" s="53" t="s">
        <v>35</v>
      </c>
      <c r="E7" s="53" t="s">
        <v>36</v>
      </c>
      <c r="F7" s="53" t="s">
        <v>37</v>
      </c>
      <c r="G7" s="53" t="s">
        <v>367</v>
      </c>
      <c r="H7" s="54" t="s">
        <v>426</v>
      </c>
    </row>
    <row r="8" spans="1:8" ht="28.75" customHeight="1" x14ac:dyDescent="0.2">
      <c r="A8" s="53" t="s">
        <v>5</v>
      </c>
      <c r="B8" s="84" t="s">
        <v>363</v>
      </c>
      <c r="C8" s="53" t="s">
        <v>365</v>
      </c>
      <c r="D8" s="53" t="s">
        <v>35</v>
      </c>
      <c r="E8" s="53" t="s">
        <v>38</v>
      </c>
      <c r="F8" s="53" t="s">
        <v>37</v>
      </c>
      <c r="G8" s="53"/>
      <c r="H8" s="53"/>
    </row>
    <row r="9" spans="1:8" ht="28.75" customHeight="1" x14ac:dyDescent="0.2">
      <c r="A9" s="85" t="s">
        <v>5</v>
      </c>
      <c r="B9" s="53" t="s">
        <v>364</v>
      </c>
      <c r="C9" s="86"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activeCell="G2" sqref="G2:G3"/>
    </sheetView>
  </sheetViews>
  <sheetFormatPr baseColWidth="10" defaultColWidth="8.83203125" defaultRowHeight="15" x14ac:dyDescent="0.2"/>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x14ac:dyDescent="0.2">
      <c r="A1" s="146" t="s">
        <v>1020</v>
      </c>
      <c r="B1" s="147"/>
      <c r="C1" s="147"/>
      <c r="D1" s="147"/>
      <c r="E1" s="147"/>
      <c r="F1" s="147"/>
      <c r="G1" s="147"/>
      <c r="H1" s="147"/>
      <c r="I1" s="147"/>
      <c r="J1" s="148"/>
      <c r="K1" s="153" t="s">
        <v>1021</v>
      </c>
      <c r="L1" s="153"/>
      <c r="M1" s="153"/>
      <c r="N1" s="153"/>
      <c r="O1" s="153"/>
      <c r="P1" s="153"/>
      <c r="Q1" s="153"/>
      <c r="R1" s="153"/>
      <c r="S1" s="153"/>
      <c r="T1" s="153"/>
      <c r="U1" s="153"/>
    </row>
    <row r="2" spans="1:21" s="40" customFormat="1" ht="59.5" customHeight="1" x14ac:dyDescent="0.2">
      <c r="A2" s="26" t="s">
        <v>0</v>
      </c>
      <c r="B2" s="26" t="s">
        <v>6</v>
      </c>
      <c r="C2" s="26" t="s">
        <v>10</v>
      </c>
      <c r="D2" s="26" t="s">
        <v>309</v>
      </c>
      <c r="E2" s="26" t="s">
        <v>919</v>
      </c>
      <c r="F2" s="26" t="s">
        <v>11</v>
      </c>
      <c r="G2" s="26" t="s">
        <v>1607</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x14ac:dyDescent="0.2">
      <c r="A3" s="33" t="s">
        <v>313</v>
      </c>
      <c r="B3" s="32" t="s">
        <v>347</v>
      </c>
      <c r="C3" s="33" t="s">
        <v>569</v>
      </c>
      <c r="D3" s="33" t="s">
        <v>781</v>
      </c>
      <c r="E3" s="33" t="s">
        <v>652</v>
      </c>
      <c r="F3" s="33" t="s">
        <v>49</v>
      </c>
      <c r="G3" s="32" t="s">
        <v>1608</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x14ac:dyDescent="0.2">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x14ac:dyDescent="0.2">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x14ac:dyDescent="0.2">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x14ac:dyDescent="0.2">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x14ac:dyDescent="0.2">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x14ac:dyDescent="0.2">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x14ac:dyDescent="0.2">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x14ac:dyDescent="0.2">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x14ac:dyDescent="0.2">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x14ac:dyDescent="0.2">
      <c r="A13" s="33" t="s">
        <v>4</v>
      </c>
      <c r="B13" s="32"/>
      <c r="C13" s="33"/>
      <c r="D13" s="33"/>
      <c r="E13" s="33"/>
      <c r="F13" s="33"/>
      <c r="G13" s="33"/>
      <c r="H13" s="33"/>
      <c r="I13" s="33"/>
      <c r="J13" s="33"/>
      <c r="K13" s="33"/>
      <c r="L13" s="33"/>
      <c r="M13" s="33"/>
      <c r="N13" s="33"/>
      <c r="O13" s="33"/>
      <c r="P13" s="33"/>
      <c r="Q13" s="33"/>
      <c r="R13" s="33"/>
      <c r="S13" s="33"/>
      <c r="T13" s="33"/>
      <c r="U13" s="33"/>
    </row>
    <row r="14" spans="1:21" ht="32" x14ac:dyDescent="0.2">
      <c r="A14" s="53" t="s">
        <v>5</v>
      </c>
      <c r="B14" s="53" t="s">
        <v>347</v>
      </c>
      <c r="C14" s="53" t="s">
        <v>572</v>
      </c>
      <c r="D14" s="53" t="s">
        <v>922</v>
      </c>
      <c r="E14" s="53" t="s">
        <v>920</v>
      </c>
      <c r="F14" s="53" t="s">
        <v>923</v>
      </c>
      <c r="G14" s="53"/>
      <c r="H14" s="53" t="s">
        <v>50</v>
      </c>
      <c r="I14" s="53" t="s">
        <v>56</v>
      </c>
      <c r="J14" s="53"/>
      <c r="K14" s="53" t="s">
        <v>924</v>
      </c>
      <c r="L14" s="53"/>
      <c r="M14" s="54" t="s">
        <v>885</v>
      </c>
      <c r="N14" s="54" t="s">
        <v>21</v>
      </c>
      <c r="O14" s="53" t="s">
        <v>370</v>
      </c>
      <c r="P14" s="53" t="s">
        <v>21</v>
      </c>
      <c r="Q14" s="53" t="s">
        <v>23</v>
      </c>
      <c r="R14" s="53" t="str">
        <f t="shared" ref="R14" si="0">IF(I14="public","y",IF(I14="private","n",""))</f>
        <v>n</v>
      </c>
      <c r="S14" s="53" t="s">
        <v>21</v>
      </c>
      <c r="T14" s="53"/>
      <c r="U14" s="53"/>
    </row>
    <row r="15" spans="1:21" ht="16" x14ac:dyDescent="0.2">
      <c r="A15" s="53" t="s">
        <v>5</v>
      </c>
      <c r="B15" s="53" t="s">
        <v>347</v>
      </c>
      <c r="C15" s="53" t="s">
        <v>572</v>
      </c>
      <c r="D15" s="53" t="s">
        <v>925</v>
      </c>
      <c r="E15" s="53" t="s">
        <v>921</v>
      </c>
      <c r="F15" s="53" t="s">
        <v>926</v>
      </c>
      <c r="G15" s="53"/>
      <c r="H15" s="53" t="s">
        <v>50</v>
      </c>
      <c r="I15" s="53" t="s">
        <v>56</v>
      </c>
      <c r="J15" s="53"/>
      <c r="K15" s="53" t="s">
        <v>924</v>
      </c>
      <c r="L15" s="53"/>
      <c r="M15" s="53"/>
      <c r="N15" s="54" t="s">
        <v>21</v>
      </c>
      <c r="O15" s="53" t="s">
        <v>370</v>
      </c>
      <c r="P15" s="53" t="s">
        <v>21</v>
      </c>
      <c r="Q15" s="53" t="s">
        <v>23</v>
      </c>
      <c r="R15" s="53" t="s">
        <v>21</v>
      </c>
      <c r="S15" s="53" t="s">
        <v>21</v>
      </c>
      <c r="T15" s="53"/>
      <c r="U15" s="53"/>
    </row>
    <row r="16" spans="1:21" x14ac:dyDescent="0.2">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x14ac:dyDescent="0.2">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x14ac:dyDescent="0.2">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x14ac:dyDescent="0.2">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x14ac:dyDescent="0.2">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x14ac:dyDescent="0.2">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x14ac:dyDescent="0.2">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x14ac:dyDescent="0.2">
      <c r="A1" s="142" t="s">
        <v>1026</v>
      </c>
      <c r="B1" s="142"/>
      <c r="C1" s="142"/>
      <c r="D1" s="142"/>
      <c r="E1" s="142"/>
      <c r="F1" s="142"/>
      <c r="G1" s="142"/>
      <c r="H1" s="142"/>
      <c r="I1" s="142"/>
      <c r="J1" s="142"/>
    </row>
    <row r="2" spans="1:10" ht="29.25" customHeight="1" x14ac:dyDescent="0.2">
      <c r="A2" s="26" t="s">
        <v>0</v>
      </c>
      <c r="B2" s="26" t="s">
        <v>6</v>
      </c>
      <c r="C2" s="26" t="s">
        <v>635</v>
      </c>
      <c r="D2" s="26" t="s">
        <v>637</v>
      </c>
      <c r="E2" s="27" t="s">
        <v>638</v>
      </c>
      <c r="F2" s="26" t="s">
        <v>57</v>
      </c>
      <c r="G2" s="27" t="s">
        <v>640</v>
      </c>
      <c r="H2" s="26" t="s">
        <v>59</v>
      </c>
      <c r="I2" s="26" t="s">
        <v>641</v>
      </c>
      <c r="J2" s="26" t="s">
        <v>417</v>
      </c>
    </row>
    <row r="3" spans="1:10" ht="16" x14ac:dyDescent="0.2">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42" t="s">
        <v>1027</v>
      </c>
      <c r="B1" s="142"/>
      <c r="C1" s="142"/>
      <c r="D1" s="142"/>
      <c r="E1" s="142"/>
      <c r="F1" s="142"/>
      <c r="G1" s="142"/>
      <c r="H1" s="142"/>
      <c r="I1" s="142"/>
    </row>
    <row r="2" spans="1:9" x14ac:dyDescent="0.2">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42" t="s">
        <v>1028</v>
      </c>
      <c r="B1" s="142"/>
      <c r="C1" s="142"/>
      <c r="D1" s="142"/>
      <c r="E1" s="142"/>
      <c r="F1" s="142"/>
      <c r="G1" s="142"/>
      <c r="H1" s="142"/>
      <c r="I1" s="142"/>
      <c r="J1" s="142"/>
      <c r="K1" s="142"/>
      <c r="L1" s="142"/>
      <c r="M1" s="142"/>
      <c r="N1" s="142"/>
      <c r="O1" s="142"/>
      <c r="P1" s="142"/>
      <c r="Q1" s="142"/>
    </row>
    <row r="2" spans="1:17" x14ac:dyDescent="0.2">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x14ac:dyDescent="0.2"/>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x14ac:dyDescent="0.2">
      <c r="A1" s="142" t="s">
        <v>1029</v>
      </c>
      <c r="B1" s="142"/>
      <c r="C1" s="142"/>
      <c r="D1" s="142"/>
      <c r="E1" s="142"/>
      <c r="F1" s="142"/>
      <c r="G1" s="142"/>
      <c r="H1" s="142"/>
      <c r="I1" s="142"/>
      <c r="J1" s="142"/>
      <c r="K1" s="142"/>
      <c r="L1" s="142"/>
      <c r="M1" s="142"/>
      <c r="N1" s="142"/>
      <c r="O1" s="142"/>
      <c r="P1" s="142"/>
      <c r="Q1" s="142"/>
      <c r="R1" s="142"/>
      <c r="S1" s="142"/>
      <c r="T1" s="142"/>
    </row>
    <row r="2" spans="1:20" ht="16" x14ac:dyDescent="0.2">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x14ac:dyDescent="0.2">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x14ac:dyDescent="0.2">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x14ac:dyDescent="0.2">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x14ac:dyDescent="0.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x14ac:dyDescent="0.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x14ac:dyDescent="0.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x14ac:dyDescent="0.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x14ac:dyDescent="0.2">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x14ac:dyDescent="0.2">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x14ac:dyDescent="0.2">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x14ac:dyDescent="0.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x14ac:dyDescent="0.2">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x14ac:dyDescent="0.2">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x14ac:dyDescent="0.2">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x14ac:dyDescent="0.2">
      <c r="A17" s="33" t="s">
        <v>4</v>
      </c>
      <c r="B17" s="33"/>
      <c r="C17" s="33"/>
      <c r="D17" s="33"/>
      <c r="E17" s="32"/>
      <c r="F17" s="32"/>
      <c r="G17" s="32"/>
      <c r="H17" s="33"/>
      <c r="I17" s="31"/>
      <c r="J17" s="33"/>
      <c r="K17" s="33"/>
      <c r="L17" s="33"/>
      <c r="M17" s="33"/>
      <c r="N17" s="33"/>
      <c r="O17" s="33"/>
      <c r="P17" s="33"/>
      <c r="Q17" s="33"/>
      <c r="R17" s="33"/>
      <c r="S17" s="33"/>
      <c r="T17" s="33"/>
    </row>
    <row r="18" spans="1:20" ht="31.75" customHeight="1" x14ac:dyDescent="0.2">
      <c r="A18" s="53" t="s">
        <v>5</v>
      </c>
      <c r="B18" s="84" t="s">
        <v>347</v>
      </c>
      <c r="C18" s="84"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x14ac:dyDescent="0.2">
      <c r="A19" s="53" t="s">
        <v>5</v>
      </c>
      <c r="B19" s="84" t="s">
        <v>347</v>
      </c>
      <c r="C19" s="84"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x14ac:dyDescent="0.2">
      <c r="A20" s="53" t="s">
        <v>5</v>
      </c>
      <c r="B20" s="84" t="s">
        <v>347</v>
      </c>
      <c r="C20" s="84"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x14ac:dyDescent="0.2">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x14ac:dyDescent="0.2">
      <c r="A1" s="142" t="s">
        <v>1009</v>
      </c>
      <c r="B1" s="154"/>
      <c r="C1" s="154"/>
      <c r="D1" s="154"/>
      <c r="E1" s="154"/>
      <c r="F1" s="154"/>
      <c r="G1" s="154"/>
      <c r="H1" s="154"/>
      <c r="I1" s="154"/>
    </row>
    <row r="2" spans="1:9" x14ac:dyDescent="0.2">
      <c r="A2" s="4" t="s">
        <v>0</v>
      </c>
      <c r="B2" s="4" t="s">
        <v>6</v>
      </c>
      <c r="C2" s="4" t="s">
        <v>927</v>
      </c>
      <c r="D2" s="26" t="s">
        <v>928</v>
      </c>
      <c r="E2" s="26" t="s">
        <v>929</v>
      </c>
      <c r="F2" s="26" t="s">
        <v>930</v>
      </c>
      <c r="G2" s="26" t="s">
        <v>931</v>
      </c>
      <c r="H2" s="26" t="s">
        <v>932</v>
      </c>
      <c r="I2" s="4" t="s">
        <v>417</v>
      </c>
    </row>
    <row r="3" spans="1:9" s="30" customFormat="1" x14ac:dyDescent="0.2">
      <c r="A3" s="28" t="s">
        <v>4</v>
      </c>
      <c r="B3" s="28"/>
      <c r="C3" s="28"/>
      <c r="D3" s="105"/>
      <c r="E3" s="105"/>
      <c r="F3" s="105"/>
      <c r="G3" s="105"/>
      <c r="H3" s="105"/>
      <c r="I3" s="28"/>
    </row>
    <row r="4" spans="1:9" ht="43.5" customHeight="1" x14ac:dyDescent="0.2">
      <c r="A4" s="32" t="s">
        <v>313</v>
      </c>
      <c r="B4" s="33" t="s">
        <v>347</v>
      </c>
      <c r="C4" s="32" t="s">
        <v>933</v>
      </c>
      <c r="D4" s="32" t="s">
        <v>934</v>
      </c>
      <c r="E4" s="32" t="s">
        <v>935</v>
      </c>
      <c r="F4" s="32" t="s">
        <v>936</v>
      </c>
      <c r="G4" s="32" t="s">
        <v>937</v>
      </c>
      <c r="H4" s="32">
        <v>3600</v>
      </c>
      <c r="I4" s="29"/>
    </row>
    <row r="5" spans="1:9" ht="43.5" customHeight="1" x14ac:dyDescent="0.2">
      <c r="A5" s="32" t="s">
        <v>313</v>
      </c>
      <c r="B5" s="33" t="s">
        <v>347</v>
      </c>
      <c r="C5" s="32" t="s">
        <v>933</v>
      </c>
      <c r="D5" s="32" t="s">
        <v>934</v>
      </c>
      <c r="E5" s="32" t="s">
        <v>938</v>
      </c>
      <c r="F5" s="32" t="s">
        <v>939</v>
      </c>
      <c r="G5" s="32" t="s">
        <v>940</v>
      </c>
      <c r="H5" s="32">
        <v>300</v>
      </c>
      <c r="I5" s="29"/>
    </row>
    <row r="6" spans="1:9" ht="43.5" customHeight="1" x14ac:dyDescent="0.2">
      <c r="A6" s="32" t="s">
        <v>313</v>
      </c>
      <c r="B6" s="33" t="s">
        <v>347</v>
      </c>
      <c r="C6" s="32" t="s">
        <v>941</v>
      </c>
      <c r="D6" s="32" t="s">
        <v>942</v>
      </c>
      <c r="E6" s="32" t="s">
        <v>943</v>
      </c>
      <c r="F6" s="32" t="s">
        <v>936</v>
      </c>
      <c r="G6" s="32" t="s">
        <v>944</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x14ac:dyDescent="0.2">
      <c r="A1" s="155" t="s">
        <v>1010</v>
      </c>
      <c r="B1" s="156"/>
      <c r="C1" s="156"/>
      <c r="D1" s="156"/>
      <c r="E1" s="156"/>
      <c r="F1" s="156"/>
      <c r="G1" s="156"/>
      <c r="H1" s="156"/>
      <c r="I1" s="156"/>
      <c r="J1" s="156"/>
      <c r="K1" s="156"/>
    </row>
    <row r="2" spans="1:11" ht="32" x14ac:dyDescent="0.2">
      <c r="A2" s="26" t="s">
        <v>0</v>
      </c>
      <c r="B2" s="27" t="s">
        <v>6</v>
      </c>
      <c r="C2" s="26" t="s">
        <v>10</v>
      </c>
      <c r="D2" s="26" t="s">
        <v>309</v>
      </c>
      <c r="E2" s="26" t="s">
        <v>945</v>
      </c>
      <c r="F2" s="26" t="s">
        <v>946</v>
      </c>
      <c r="G2" s="26" t="s">
        <v>947</v>
      </c>
      <c r="H2" s="26" t="s">
        <v>948</v>
      </c>
      <c r="I2" s="26" t="s">
        <v>949</v>
      </c>
      <c r="J2" s="26" t="s">
        <v>950</v>
      </c>
      <c r="K2" s="26" t="s">
        <v>417</v>
      </c>
    </row>
    <row r="3" spans="1:11" s="30" customFormat="1" x14ac:dyDescent="0.2">
      <c r="A3" s="105" t="s">
        <v>4</v>
      </c>
      <c r="B3" s="105"/>
      <c r="C3" s="105"/>
      <c r="D3" s="105"/>
      <c r="E3" s="105"/>
      <c r="F3" s="105"/>
      <c r="G3" s="105"/>
      <c r="H3" s="105"/>
      <c r="I3" s="105"/>
      <c r="J3" s="105"/>
      <c r="K3" s="105"/>
    </row>
    <row r="4" spans="1:11" ht="64" x14ac:dyDescent="0.2">
      <c r="A4" s="33" t="s">
        <v>313</v>
      </c>
      <c r="B4" s="33" t="s">
        <v>347</v>
      </c>
      <c r="C4" s="33" t="s">
        <v>569</v>
      </c>
      <c r="D4" s="33" t="s">
        <v>569</v>
      </c>
      <c r="E4" s="32" t="s">
        <v>951</v>
      </c>
      <c r="F4" s="29" t="s">
        <v>952</v>
      </c>
      <c r="G4" s="33" t="s">
        <v>781</v>
      </c>
      <c r="H4" s="29" t="s">
        <v>953</v>
      </c>
      <c r="I4" s="28"/>
      <c r="J4" s="29" t="s">
        <v>954</v>
      </c>
      <c r="K4" s="29"/>
    </row>
    <row r="5" spans="1:11" ht="29.25" customHeight="1" x14ac:dyDescent="0.2">
      <c r="A5" s="32" t="s">
        <v>313</v>
      </c>
      <c r="B5" s="33" t="s">
        <v>347</v>
      </c>
      <c r="C5" s="33" t="s">
        <v>571</v>
      </c>
      <c r="D5" s="33" t="s">
        <v>571</v>
      </c>
      <c r="E5" s="32" t="s">
        <v>951</v>
      </c>
      <c r="F5" s="29" t="s">
        <v>955</v>
      </c>
      <c r="G5" s="33" t="s">
        <v>575</v>
      </c>
      <c r="H5" s="29" t="s">
        <v>956</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x14ac:dyDescent="0.2">
      <c r="A1" s="142" t="s">
        <v>1030</v>
      </c>
      <c r="B1" s="142"/>
      <c r="C1" s="142"/>
      <c r="D1" s="142"/>
      <c r="E1" s="142"/>
      <c r="F1" s="142"/>
      <c r="G1" s="142"/>
    </row>
    <row r="2" spans="1:7" s="40" customFormat="1" ht="28.75" customHeight="1" x14ac:dyDescent="0.2">
      <c r="A2" s="26" t="s">
        <v>0</v>
      </c>
      <c r="B2" s="26" t="s">
        <v>6</v>
      </c>
      <c r="C2" s="26" t="s">
        <v>309</v>
      </c>
      <c r="D2" s="27" t="s">
        <v>81</v>
      </c>
      <c r="E2" s="27" t="s">
        <v>82</v>
      </c>
      <c r="F2" s="27" t="s">
        <v>83</v>
      </c>
      <c r="G2" s="27" t="s">
        <v>417</v>
      </c>
    </row>
    <row r="3" spans="1:7" ht="44.5" customHeight="1" x14ac:dyDescent="0.2">
      <c r="A3" s="33" t="s">
        <v>5</v>
      </c>
      <c r="B3" s="33" t="s">
        <v>353</v>
      </c>
      <c r="C3" s="33" t="s">
        <v>84</v>
      </c>
      <c r="D3" s="33" t="s">
        <v>55</v>
      </c>
      <c r="E3" s="33" t="s">
        <v>85</v>
      </c>
      <c r="F3" s="33" t="s">
        <v>98</v>
      </c>
      <c r="G3" s="32" t="s">
        <v>426</v>
      </c>
    </row>
    <row r="4" spans="1:7" ht="28.75" customHeight="1" x14ac:dyDescent="0.2">
      <c r="A4" s="33" t="s">
        <v>5</v>
      </c>
      <c r="B4" s="33" t="s">
        <v>353</v>
      </c>
      <c r="C4" s="33" t="s">
        <v>86</v>
      </c>
      <c r="D4" s="33" t="s">
        <v>87</v>
      </c>
      <c r="E4" s="33" t="s">
        <v>85</v>
      </c>
      <c r="F4" s="33" t="s">
        <v>101</v>
      </c>
      <c r="G4" s="33"/>
    </row>
    <row r="5" spans="1:7" ht="28.75" customHeight="1" x14ac:dyDescent="0.2">
      <c r="A5" s="33" t="s">
        <v>5</v>
      </c>
      <c r="B5" s="33" t="s">
        <v>353</v>
      </c>
      <c r="C5" s="33" t="s">
        <v>88</v>
      </c>
      <c r="D5" s="33" t="s">
        <v>55</v>
      </c>
      <c r="E5" s="33" t="s">
        <v>85</v>
      </c>
      <c r="F5" s="33" t="s">
        <v>346</v>
      </c>
      <c r="G5" s="33"/>
    </row>
    <row r="6" spans="1:7" ht="28.75" customHeight="1" x14ac:dyDescent="0.2">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W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8.83203125"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1.83203125" customWidth="1"/>
    <col min="21" max="21" width="28.6640625" customWidth="1"/>
    <col min="22" max="22" width="12" customWidth="1"/>
  </cols>
  <sheetData>
    <row r="1" spans="1:23" ht="250" customHeight="1" x14ac:dyDescent="0.2">
      <c r="A1" s="157" t="s">
        <v>1530</v>
      </c>
      <c r="B1" s="158"/>
      <c r="C1" s="158"/>
      <c r="D1" s="158"/>
      <c r="E1" s="158"/>
      <c r="F1" s="158"/>
      <c r="G1" s="158"/>
      <c r="H1" s="159"/>
      <c r="I1" s="146" t="s">
        <v>1192</v>
      </c>
      <c r="J1" s="147"/>
      <c r="K1" s="147"/>
      <c r="L1" s="147"/>
      <c r="M1" s="147"/>
      <c r="N1" s="147"/>
      <c r="O1" s="147"/>
      <c r="P1" s="147"/>
      <c r="Q1" s="147"/>
      <c r="R1" s="147"/>
      <c r="S1" s="147"/>
      <c r="T1" s="147"/>
      <c r="U1" s="147"/>
      <c r="V1" s="148"/>
      <c r="W1" s="107"/>
    </row>
    <row r="2" spans="1:23" s="40" customFormat="1" ht="52.5" customHeight="1" x14ac:dyDescent="0.2">
      <c r="A2" s="26" t="s">
        <v>0</v>
      </c>
      <c r="B2" s="26" t="s">
        <v>6</v>
      </c>
      <c r="C2" s="27" t="s">
        <v>81</v>
      </c>
      <c r="D2" s="26" t="s">
        <v>309</v>
      </c>
      <c r="E2" s="26" t="s">
        <v>83</v>
      </c>
      <c r="F2" s="27" t="s">
        <v>1207</v>
      </c>
      <c r="G2" s="26" t="s">
        <v>89</v>
      </c>
      <c r="H2" s="27" t="s">
        <v>90</v>
      </c>
      <c r="I2" s="26" t="s">
        <v>427</v>
      </c>
      <c r="J2" s="26" t="s">
        <v>82</v>
      </c>
      <c r="K2" s="26" t="s">
        <v>785</v>
      </c>
      <c r="L2" s="26" t="s">
        <v>786</v>
      </c>
      <c r="M2" s="27" t="s">
        <v>789</v>
      </c>
      <c r="N2" s="27" t="s">
        <v>790</v>
      </c>
      <c r="O2" s="27" t="s">
        <v>1058</v>
      </c>
      <c r="P2" s="26" t="s">
        <v>92</v>
      </c>
      <c r="Q2" s="26" t="s">
        <v>93</v>
      </c>
      <c r="R2" s="27" t="s">
        <v>545</v>
      </c>
      <c r="S2" s="26" t="s">
        <v>94</v>
      </c>
      <c r="T2" s="27" t="s">
        <v>95</v>
      </c>
      <c r="U2" s="27" t="s">
        <v>957</v>
      </c>
      <c r="V2" s="26" t="s">
        <v>417</v>
      </c>
    </row>
    <row r="3" spans="1:23" ht="42" customHeight="1" x14ac:dyDescent="0.2">
      <c r="A3" s="33" t="s">
        <v>5</v>
      </c>
      <c r="B3" s="33" t="s">
        <v>347</v>
      </c>
      <c r="C3" s="33" t="s">
        <v>55</v>
      </c>
      <c r="D3" s="33" t="s">
        <v>801</v>
      </c>
      <c r="E3" s="33" t="s">
        <v>346</v>
      </c>
      <c r="F3" s="32" t="s">
        <v>1206</v>
      </c>
      <c r="G3" s="33" t="b">
        <v>0</v>
      </c>
      <c r="H3" s="33" t="s">
        <v>802</v>
      </c>
      <c r="I3" s="33" t="s">
        <v>428</v>
      </c>
      <c r="J3" s="79" t="s">
        <v>102</v>
      </c>
      <c r="K3" s="33">
        <v>16</v>
      </c>
      <c r="L3" s="33">
        <v>55</v>
      </c>
      <c r="M3" s="33"/>
      <c r="N3" s="33"/>
      <c r="O3" s="33"/>
      <c r="P3" s="33" t="s">
        <v>100</v>
      </c>
      <c r="Q3" s="33" t="s">
        <v>386</v>
      </c>
      <c r="R3" s="33" t="s">
        <v>361</v>
      </c>
      <c r="S3" s="33"/>
      <c r="T3" s="33" t="s">
        <v>88</v>
      </c>
      <c r="U3" s="33"/>
      <c r="V3" s="32" t="s">
        <v>426</v>
      </c>
    </row>
    <row r="4" spans="1:23" ht="28.75" customHeight="1" x14ac:dyDescent="0.2">
      <c r="A4" s="6" t="s">
        <v>4</v>
      </c>
      <c r="B4" s="33"/>
      <c r="C4" s="33"/>
      <c r="D4" s="6"/>
      <c r="E4" s="33"/>
      <c r="F4" s="18"/>
      <c r="G4" s="33"/>
      <c r="H4" s="6"/>
      <c r="I4" s="6"/>
      <c r="J4" s="33"/>
      <c r="K4" s="6"/>
      <c r="L4" s="6"/>
      <c r="M4" s="6"/>
      <c r="N4" s="6"/>
      <c r="O4" s="6"/>
      <c r="P4" s="6"/>
      <c r="Q4" s="6"/>
      <c r="R4" s="6"/>
      <c r="S4" s="6"/>
      <c r="T4" s="6"/>
      <c r="U4" s="6"/>
      <c r="V4" s="33"/>
    </row>
    <row r="5" spans="1:23" ht="32" x14ac:dyDescent="0.2">
      <c r="A5" s="53" t="s">
        <v>5</v>
      </c>
      <c r="B5" s="53" t="s">
        <v>347</v>
      </c>
      <c r="C5" s="53" t="s">
        <v>55</v>
      </c>
      <c r="D5" s="53" t="s">
        <v>387</v>
      </c>
      <c r="E5" s="53" t="s">
        <v>346</v>
      </c>
      <c r="F5" s="54" t="s">
        <v>1208</v>
      </c>
      <c r="G5" s="54" t="b">
        <v>0</v>
      </c>
      <c r="H5" s="53"/>
      <c r="I5" s="53" t="s">
        <v>429</v>
      </c>
      <c r="J5" s="53" t="s">
        <v>331</v>
      </c>
      <c r="K5" s="53"/>
      <c r="L5" s="53"/>
      <c r="M5" s="53" t="b">
        <v>1</v>
      </c>
      <c r="N5" s="53"/>
      <c r="O5" s="53" t="s">
        <v>998</v>
      </c>
      <c r="P5" s="53" t="s">
        <v>100</v>
      </c>
      <c r="Q5" s="53" t="s">
        <v>386</v>
      </c>
      <c r="R5" s="53"/>
      <c r="S5" s="53"/>
      <c r="T5" s="53" t="s">
        <v>88</v>
      </c>
      <c r="U5" s="54" t="s">
        <v>1049</v>
      </c>
      <c r="V5" s="53"/>
    </row>
    <row r="6" spans="1:23" ht="32" x14ac:dyDescent="0.2">
      <c r="A6" s="53" t="s">
        <v>5</v>
      </c>
      <c r="B6" s="53" t="s">
        <v>347</v>
      </c>
      <c r="C6" s="53" t="s">
        <v>55</v>
      </c>
      <c r="D6" s="53" t="s">
        <v>388</v>
      </c>
      <c r="E6" s="53" t="s">
        <v>101</v>
      </c>
      <c r="F6" s="54" t="s">
        <v>1209</v>
      </c>
      <c r="G6" s="54" t="b">
        <v>0</v>
      </c>
      <c r="H6" s="53"/>
      <c r="I6" s="53" t="s">
        <v>430</v>
      </c>
      <c r="J6" s="83" t="s">
        <v>102</v>
      </c>
      <c r="K6" s="83"/>
      <c r="L6" s="83"/>
      <c r="M6" s="83"/>
      <c r="N6" s="83"/>
      <c r="O6" s="83"/>
      <c r="P6" s="53" t="s">
        <v>100</v>
      </c>
      <c r="Q6" s="53" t="s">
        <v>386</v>
      </c>
      <c r="R6" s="53"/>
      <c r="S6" s="53" t="s">
        <v>384</v>
      </c>
      <c r="T6" s="53"/>
      <c r="U6" s="54" t="s">
        <v>1050</v>
      </c>
      <c r="V6" s="53"/>
    </row>
    <row r="7" spans="1:23" ht="32" x14ac:dyDescent="0.2">
      <c r="A7" s="53" t="s">
        <v>5</v>
      </c>
      <c r="B7" s="84" t="s">
        <v>347</v>
      </c>
      <c r="C7" s="53" t="s">
        <v>55</v>
      </c>
      <c r="D7" s="53" t="s">
        <v>389</v>
      </c>
      <c r="E7" s="84" t="s">
        <v>346</v>
      </c>
      <c r="F7" s="54" t="s">
        <v>1210</v>
      </c>
      <c r="G7" s="54" t="b">
        <v>0</v>
      </c>
      <c r="H7" s="53"/>
      <c r="I7" s="53" t="s">
        <v>429</v>
      </c>
      <c r="J7" s="94" t="s">
        <v>102</v>
      </c>
      <c r="K7" s="94"/>
      <c r="L7" s="94"/>
      <c r="M7" s="94"/>
      <c r="N7" s="94"/>
      <c r="O7" s="94"/>
      <c r="P7" s="53" t="s">
        <v>100</v>
      </c>
      <c r="Q7" s="53" t="s">
        <v>386</v>
      </c>
      <c r="R7" s="53"/>
      <c r="S7" s="53" t="s">
        <v>385</v>
      </c>
      <c r="T7" s="53"/>
      <c r="U7" s="53"/>
      <c r="V7" s="53"/>
    </row>
    <row r="8" spans="1:23" ht="32" x14ac:dyDescent="0.2">
      <c r="A8" s="85" t="s">
        <v>5</v>
      </c>
      <c r="B8" s="53" t="s">
        <v>347</v>
      </c>
      <c r="C8" s="53" t="s">
        <v>55</v>
      </c>
      <c r="D8" s="85" t="s">
        <v>853</v>
      </c>
      <c r="E8" s="53" t="s">
        <v>98</v>
      </c>
      <c r="F8" s="54" t="s">
        <v>1211</v>
      </c>
      <c r="G8" s="54" t="b">
        <v>0</v>
      </c>
      <c r="H8" s="53"/>
      <c r="I8" s="53" t="s">
        <v>854</v>
      </c>
      <c r="J8" s="94" t="s">
        <v>102</v>
      </c>
      <c r="K8" s="94"/>
      <c r="L8" s="94"/>
      <c r="M8" s="94"/>
      <c r="N8" s="94"/>
      <c r="O8" s="94"/>
      <c r="P8" s="53" t="s">
        <v>100</v>
      </c>
      <c r="Q8" s="84" t="s">
        <v>386</v>
      </c>
      <c r="R8" s="53"/>
      <c r="S8" s="53" t="s">
        <v>385</v>
      </c>
      <c r="T8" s="53"/>
      <c r="U8" s="53"/>
      <c r="V8" s="53"/>
    </row>
  </sheetData>
  <mergeCells count="2">
    <mergeCell ref="A1:H1"/>
    <mergeCell ref="I1:V1"/>
  </mergeCells>
  <dataValidations count="1">
    <dataValidation allowBlank="1" sqref="D3:D1048576 H3:P1048576 S3:T1048576 V3:V1048576 U2:U1048576 O2 F2 A1:W1" xr:uid="{C831E88E-11FC-1748-A72B-DC9816C0821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pecify Compartment name." xr:uid="{E0F6BF83-7015-094B-A282-9ECD7EACE068}">
          <x14:formula1>
            <xm:f>drop_down_rule_comp!$B$2:$B$6</xm:f>
          </x14:formula1>
          <xm:sqref>R3:R1048576</xm:sqref>
        </x14:dataValidation>
        <x14:dataValidation type="list" allowBlank="1" error="Invalid Option" xr:uid="{0CFF92D0-3DCD-A545-A106-011925615642}">
          <x14:formula1>
            <xm:f>drop_down_rule_set!$AD$2:$AD$3</xm:f>
          </x14:formula1>
          <xm:sqref>G3:G1048576</xm:sqref>
        </x14:dataValidation>
        <x14:dataValidation type="list" allowBlank="1" xr:uid="{BC520D3E-9343-204C-AE4B-DF8B0A7CEE08}">
          <x14:formula1>
            <xm:f>drop_down_rule_set!$X$2:$X$4</xm:f>
          </x14:formula1>
          <xm:sqref>Q3:Q1048576</xm:sqref>
        </x14:dataValidation>
        <x14:dataValidation type="list" allowBlank="1" xr:uid="{412350C4-4338-9444-8C07-C402A7A01408}">
          <x14:formula1>
            <xm:f>drop_down_rule_set!$V$2:$V$4</xm:f>
          </x14:formula1>
          <xm:sqref>E3:E1048576</xm:sqref>
        </x14:dataValidation>
        <x14:dataValidation type="list" allowBlank="1" errorTitle="Error" error="Invalid option selected" xr:uid="{E9947943-E4CD-9F4A-84CD-BC48BCB02D4D}">
          <x14:formula1>
            <xm:f>drop_down_rule_set!$W$2:$W$4</xm:f>
          </x14:formula1>
          <xm:sqref>C3:C1048576</xm:sqref>
        </x14:dataValidation>
        <x14:dataValidation type="list" allowBlank="1" prompt="Specify Compartment name." xr:uid="{27F8D2E2-D49A-E14F-8320-BA14E47A8BD7}">
          <x14:formula1>
            <xm:f>INDIRECT("drop_down_rule_comp!$D$2:$D$"&amp;drop_down_rule_comp!$C$3+1)</xm:f>
          </x14:formula1>
          <xm:sqref>B3:B1048576</xm:sqref>
        </x14:dataValidation>
        <x14:dataValidation type="list" allowBlank="1" xr:uid="{01E947D3-B2F7-3E43-A3C8-36A10A7CEE33}">
          <x14:formula1>
            <xm:f>INDIRECT("drop_down_rule_set!$I$2:$I$"&amp;drop_down_rule_set!$G$3+1)</xm:f>
          </x14:formula1>
          <xm:sqref>F3:F1048576</xm:sqref>
        </x14:dataValidation>
        <x14:dataValidation type="list" allowBlank="1" xr:uid="{187ABB21-3DEE-AD41-AA2C-B74D35F320DB}">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x14ac:dyDescent="0.2">
      <c r="A1" s="146" t="s">
        <v>1525</v>
      </c>
      <c r="B1" s="147"/>
      <c r="C1" s="147"/>
      <c r="D1" s="147"/>
      <c r="E1" s="147"/>
      <c r="F1" s="147"/>
      <c r="G1" s="147"/>
      <c r="H1" s="147"/>
      <c r="I1" s="147"/>
      <c r="J1" s="147"/>
      <c r="K1" s="147"/>
      <c r="L1" s="147"/>
      <c r="M1" s="147"/>
      <c r="N1" s="147"/>
      <c r="O1" s="147"/>
      <c r="P1" s="147"/>
      <c r="Q1" s="147"/>
      <c r="R1" s="148"/>
    </row>
    <row r="2" spans="1:18" s="40" customFormat="1" ht="62" customHeight="1" x14ac:dyDescent="0.2">
      <c r="A2" s="26" t="s">
        <v>0</v>
      </c>
      <c r="B2" s="26" t="s">
        <v>6</v>
      </c>
      <c r="C2" s="26" t="s">
        <v>103</v>
      </c>
      <c r="D2" s="26" t="s">
        <v>1016</v>
      </c>
      <c r="E2" s="26" t="s">
        <v>104</v>
      </c>
      <c r="F2" s="27" t="s">
        <v>81</v>
      </c>
      <c r="G2" s="27" t="s">
        <v>105</v>
      </c>
      <c r="H2" s="27" t="s">
        <v>106</v>
      </c>
      <c r="I2" s="27" t="s">
        <v>792</v>
      </c>
      <c r="J2" s="27" t="s">
        <v>427</v>
      </c>
      <c r="K2" s="27" t="s">
        <v>1114</v>
      </c>
      <c r="L2" s="27" t="s">
        <v>1115</v>
      </c>
      <c r="M2" s="27" t="s">
        <v>1116</v>
      </c>
      <c r="N2" s="27" t="s">
        <v>1117</v>
      </c>
      <c r="O2" s="27" t="s">
        <v>791</v>
      </c>
      <c r="P2" s="27" t="s">
        <v>93</v>
      </c>
      <c r="Q2" s="27" t="s">
        <v>545</v>
      </c>
      <c r="R2" s="27" t="s">
        <v>417</v>
      </c>
    </row>
    <row r="3" spans="1:18" ht="32" customHeight="1" x14ac:dyDescent="0.2">
      <c r="A3" s="33" t="s">
        <v>4</v>
      </c>
      <c r="B3" s="32"/>
      <c r="C3" s="33"/>
      <c r="D3" s="33"/>
      <c r="E3" s="33"/>
      <c r="F3" s="33"/>
      <c r="G3" s="33"/>
      <c r="H3" s="33"/>
      <c r="I3" s="33"/>
      <c r="J3" s="33"/>
      <c r="K3" s="33"/>
      <c r="L3" s="33"/>
      <c r="M3" s="33"/>
      <c r="N3" s="33"/>
      <c r="O3" s="33"/>
      <c r="P3" s="33"/>
      <c r="Q3" s="33"/>
      <c r="R3" s="33"/>
    </row>
    <row r="4" spans="1:18" ht="31" customHeight="1" x14ac:dyDescent="0.2">
      <c r="A4" s="53" t="s">
        <v>5</v>
      </c>
      <c r="B4" s="53" t="s">
        <v>318</v>
      </c>
      <c r="C4" s="53" t="s">
        <v>390</v>
      </c>
      <c r="D4" s="53">
        <v>40</v>
      </c>
      <c r="E4" s="53">
        <v>150</v>
      </c>
      <c r="F4" s="53" t="s">
        <v>55</v>
      </c>
      <c r="G4" s="53" t="s">
        <v>388</v>
      </c>
      <c r="H4" s="53" t="s">
        <v>107</v>
      </c>
      <c r="I4" s="54" t="s">
        <v>793</v>
      </c>
      <c r="J4" s="103" t="s">
        <v>1118</v>
      </c>
      <c r="K4" s="103" t="s">
        <v>1119</v>
      </c>
      <c r="L4" s="103">
        <v>100</v>
      </c>
      <c r="M4" s="103" t="s">
        <v>1120</v>
      </c>
      <c r="N4" s="103" t="s">
        <v>1121</v>
      </c>
      <c r="O4" s="84" t="b">
        <v>1</v>
      </c>
      <c r="P4" s="84"/>
      <c r="Q4" s="53" t="s">
        <v>361</v>
      </c>
      <c r="R4" s="54" t="s">
        <v>426</v>
      </c>
    </row>
    <row r="5" spans="1:18" ht="32" customHeight="1" x14ac:dyDescent="0.2">
      <c r="A5" s="53" t="s">
        <v>5</v>
      </c>
      <c r="B5" s="53" t="s">
        <v>1122</v>
      </c>
      <c r="C5" s="53" t="s">
        <v>391</v>
      </c>
      <c r="D5" s="53"/>
      <c r="E5" s="53">
        <v>150</v>
      </c>
      <c r="F5" s="53" t="s">
        <v>55</v>
      </c>
      <c r="G5" s="53" t="s">
        <v>389</v>
      </c>
      <c r="H5" s="85" t="s">
        <v>107</v>
      </c>
      <c r="I5" s="54"/>
      <c r="J5" s="54"/>
      <c r="K5" s="54"/>
      <c r="L5" s="54"/>
      <c r="M5" s="54"/>
      <c r="N5" s="54"/>
      <c r="O5" s="53"/>
      <c r="P5" s="53"/>
      <c r="Q5" s="86"/>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x14ac:dyDescent="0.2">
      <c r="A1" s="146" t="s">
        <v>1193</v>
      </c>
      <c r="B1" s="147"/>
      <c r="C1" s="147"/>
      <c r="D1" s="147"/>
      <c r="E1" s="147"/>
      <c r="F1" s="147"/>
      <c r="G1" s="147"/>
      <c r="H1" s="147"/>
      <c r="I1" s="147"/>
      <c r="J1" s="147"/>
      <c r="K1" s="147"/>
      <c r="L1" s="148"/>
      <c r="M1" s="160" t="s">
        <v>1188</v>
      </c>
      <c r="N1" s="161"/>
      <c r="O1" s="161"/>
      <c r="P1" s="161"/>
      <c r="Q1" s="161"/>
      <c r="R1" s="161"/>
      <c r="S1" s="161"/>
      <c r="T1" s="161"/>
      <c r="U1" s="161"/>
      <c r="V1" s="162"/>
    </row>
    <row r="2" spans="1:22" s="1" customFormat="1" ht="63" customHeight="1" x14ac:dyDescent="0.2">
      <c r="A2" s="27" t="s">
        <v>0</v>
      </c>
      <c r="B2" s="27" t="s">
        <v>6</v>
      </c>
      <c r="C2" s="27" t="s">
        <v>81</v>
      </c>
      <c r="D2" s="27" t="s">
        <v>108</v>
      </c>
      <c r="E2" s="27" t="s">
        <v>1207</v>
      </c>
      <c r="F2" s="27" t="s">
        <v>109</v>
      </c>
      <c r="G2" s="27" t="s">
        <v>110</v>
      </c>
      <c r="H2" s="27" t="s">
        <v>94</v>
      </c>
      <c r="I2" s="27" t="s">
        <v>111</v>
      </c>
      <c r="J2" s="27" t="s">
        <v>1123</v>
      </c>
      <c r="K2" s="27" t="s">
        <v>1124</v>
      </c>
      <c r="L2" s="27" t="s">
        <v>1125</v>
      </c>
      <c r="M2" s="27" t="s">
        <v>112</v>
      </c>
      <c r="N2" s="27" t="s">
        <v>113</v>
      </c>
      <c r="O2" s="27" t="s">
        <v>114</v>
      </c>
      <c r="P2" s="27" t="s">
        <v>115</v>
      </c>
      <c r="Q2" s="27" t="s">
        <v>116</v>
      </c>
      <c r="R2" s="27" t="s">
        <v>117</v>
      </c>
      <c r="S2" s="27" t="s">
        <v>118</v>
      </c>
      <c r="T2" s="27" t="s">
        <v>1126</v>
      </c>
      <c r="U2" s="27" t="s">
        <v>1127</v>
      </c>
      <c r="V2" s="27" t="s">
        <v>417</v>
      </c>
    </row>
    <row r="3" spans="1:22" ht="16" x14ac:dyDescent="0.2">
      <c r="A3" s="33" t="s">
        <v>4</v>
      </c>
      <c r="B3" s="33"/>
      <c r="C3" s="33"/>
      <c r="D3" s="33"/>
      <c r="E3" s="32" t="s">
        <v>914</v>
      </c>
      <c r="F3" s="33"/>
      <c r="G3" s="33"/>
      <c r="H3" s="33"/>
      <c r="I3" s="33"/>
      <c r="J3" s="33"/>
      <c r="K3" s="33"/>
      <c r="L3" s="33"/>
      <c r="M3" s="33"/>
      <c r="N3" s="33"/>
      <c r="O3" s="33"/>
      <c r="P3" s="33"/>
      <c r="Q3" s="33"/>
      <c r="R3" s="33"/>
      <c r="S3" s="33"/>
      <c r="T3" s="33"/>
      <c r="U3" s="33"/>
      <c r="V3" s="33"/>
    </row>
    <row r="4" spans="1:22" ht="47" customHeight="1" x14ac:dyDescent="0.2">
      <c r="A4" s="53" t="s">
        <v>5</v>
      </c>
      <c r="B4" s="53" t="s">
        <v>347</v>
      </c>
      <c r="C4" s="53" t="s">
        <v>87</v>
      </c>
      <c r="D4" s="53" t="s">
        <v>119</v>
      </c>
      <c r="E4" s="54" t="s">
        <v>1208</v>
      </c>
      <c r="F4" s="53"/>
      <c r="G4" s="53" t="s">
        <v>120</v>
      </c>
      <c r="H4" s="54" t="s">
        <v>418</v>
      </c>
      <c r="I4" s="53" t="s">
        <v>121</v>
      </c>
      <c r="J4" s="53"/>
      <c r="K4" s="53"/>
      <c r="L4" s="53"/>
      <c r="M4" s="53" t="s">
        <v>631</v>
      </c>
      <c r="N4" s="53"/>
      <c r="O4" s="53"/>
      <c r="P4" s="53"/>
      <c r="Q4" s="53"/>
      <c r="R4" s="53"/>
      <c r="S4" s="53"/>
      <c r="T4" s="53"/>
      <c r="U4" s="53"/>
      <c r="V4" s="54" t="s">
        <v>426</v>
      </c>
    </row>
    <row r="5" spans="1:22" ht="15" x14ac:dyDescent="0.2">
      <c r="A5" s="53"/>
      <c r="B5" s="53"/>
      <c r="C5" s="53"/>
      <c r="D5" s="53"/>
      <c r="E5" s="54"/>
      <c r="F5" s="53"/>
      <c r="G5" s="53"/>
      <c r="H5" s="53"/>
      <c r="I5" s="53"/>
      <c r="J5" s="53"/>
      <c r="K5" s="53"/>
      <c r="L5" s="53"/>
      <c r="M5" s="53" t="s">
        <v>631</v>
      </c>
      <c r="N5" s="53" t="s">
        <v>122</v>
      </c>
      <c r="O5" s="53" t="s">
        <v>123</v>
      </c>
      <c r="P5" s="53"/>
      <c r="Q5" s="53"/>
      <c r="R5" s="53"/>
      <c r="S5" s="53"/>
      <c r="T5" s="53"/>
      <c r="U5" s="53"/>
      <c r="V5" s="53"/>
    </row>
    <row r="6" spans="1:22" ht="15" x14ac:dyDescent="0.2">
      <c r="A6" s="53"/>
      <c r="B6" s="122"/>
      <c r="C6" s="53"/>
      <c r="D6" s="53"/>
      <c r="E6" s="54"/>
      <c r="F6" s="53"/>
      <c r="G6" s="53"/>
      <c r="H6" s="53"/>
      <c r="I6" s="53"/>
      <c r="J6" s="53"/>
      <c r="K6" s="53"/>
      <c r="L6" s="53"/>
      <c r="M6" s="53" t="s">
        <v>631</v>
      </c>
      <c r="N6" s="53" t="s">
        <v>124</v>
      </c>
      <c r="O6" s="53" t="s">
        <v>125</v>
      </c>
      <c r="P6" s="53"/>
      <c r="Q6" s="53"/>
      <c r="R6" s="53"/>
      <c r="S6" s="53"/>
      <c r="T6" s="53"/>
      <c r="U6" s="53"/>
      <c r="V6" s="53"/>
    </row>
    <row r="7" spans="1:22" ht="28.75" customHeight="1" x14ac:dyDescent="0.2">
      <c r="A7" s="53" t="s">
        <v>5</v>
      </c>
      <c r="B7" s="53" t="s">
        <v>347</v>
      </c>
      <c r="C7" s="53" t="s">
        <v>87</v>
      </c>
      <c r="D7" s="53" t="s">
        <v>119</v>
      </c>
      <c r="E7" s="54" t="s">
        <v>1208</v>
      </c>
      <c r="F7" s="53"/>
      <c r="G7" s="53"/>
      <c r="H7" s="53"/>
      <c r="I7" s="53" t="s">
        <v>126</v>
      </c>
      <c r="J7" s="53"/>
      <c r="K7" s="53"/>
      <c r="L7" s="53"/>
      <c r="M7" s="53" t="s">
        <v>632</v>
      </c>
      <c r="N7" s="53"/>
      <c r="O7" s="53"/>
      <c r="P7" s="53"/>
      <c r="Q7" s="53"/>
      <c r="R7" s="53"/>
      <c r="S7" s="53"/>
      <c r="T7" s="53"/>
      <c r="U7" s="53"/>
      <c r="V7" s="53"/>
    </row>
    <row r="8" spans="1:22" ht="28.75" customHeight="1" x14ac:dyDescent="0.2">
      <c r="A8" s="53" t="s">
        <v>5</v>
      </c>
      <c r="B8" s="53" t="s">
        <v>347</v>
      </c>
      <c r="C8" s="53" t="s">
        <v>96</v>
      </c>
      <c r="D8" s="53" t="s">
        <v>127</v>
      </c>
      <c r="E8" s="54" t="s">
        <v>1208</v>
      </c>
      <c r="F8" s="53"/>
      <c r="G8" s="53"/>
      <c r="H8" s="53"/>
      <c r="I8" s="53" t="s">
        <v>128</v>
      </c>
      <c r="J8" s="53"/>
      <c r="K8" s="53"/>
      <c r="L8" s="53"/>
      <c r="M8" s="53" t="s">
        <v>633</v>
      </c>
      <c r="N8" s="53" t="s">
        <v>129</v>
      </c>
      <c r="O8" s="53" t="s">
        <v>123</v>
      </c>
      <c r="P8" s="53"/>
      <c r="Q8" s="53"/>
      <c r="R8" s="53"/>
      <c r="S8" s="53"/>
      <c r="T8" s="53"/>
      <c r="U8" s="53"/>
      <c r="V8" s="53"/>
    </row>
    <row r="9" spans="1:22" ht="28.75" customHeight="1" x14ac:dyDescent="0.2">
      <c r="A9" s="53" t="s">
        <v>5</v>
      </c>
      <c r="B9" s="53" t="s">
        <v>347</v>
      </c>
      <c r="C9" s="53" t="s">
        <v>96</v>
      </c>
      <c r="D9" s="53" t="s">
        <v>130</v>
      </c>
      <c r="E9" s="54" t="s">
        <v>1208</v>
      </c>
      <c r="F9" s="53"/>
      <c r="G9" s="53"/>
      <c r="H9" s="53"/>
      <c r="I9" s="53" t="s">
        <v>128</v>
      </c>
      <c r="J9" s="53"/>
      <c r="K9" s="53"/>
      <c r="L9" s="53"/>
      <c r="M9" s="53" t="s">
        <v>633</v>
      </c>
      <c r="N9" s="53" t="s">
        <v>131</v>
      </c>
      <c r="O9" s="53" t="s">
        <v>125</v>
      </c>
      <c r="P9" s="53"/>
      <c r="Q9" s="53"/>
      <c r="R9" s="53"/>
      <c r="S9" s="53"/>
      <c r="T9" s="53"/>
      <c r="U9" s="53"/>
      <c r="V9" s="53"/>
    </row>
    <row r="10" spans="1:22" ht="28.75" customHeight="1" x14ac:dyDescent="0.2">
      <c r="A10" s="53" t="s">
        <v>5</v>
      </c>
      <c r="B10" s="53" t="s">
        <v>347</v>
      </c>
      <c r="C10" s="53" t="s">
        <v>87</v>
      </c>
      <c r="D10" s="53" t="s">
        <v>132</v>
      </c>
      <c r="E10" s="54" t="s">
        <v>1208</v>
      </c>
      <c r="F10" s="53"/>
      <c r="G10" s="53"/>
      <c r="H10" s="53"/>
      <c r="I10" s="53" t="s">
        <v>133</v>
      </c>
      <c r="J10" s="53"/>
      <c r="K10" s="53"/>
      <c r="L10" s="53"/>
      <c r="M10" s="53" t="s">
        <v>634</v>
      </c>
      <c r="N10" s="53"/>
      <c r="O10" s="53"/>
      <c r="P10" s="53"/>
      <c r="Q10" s="53"/>
      <c r="R10" s="53"/>
      <c r="S10" s="53"/>
      <c r="T10" s="53"/>
      <c r="U10" s="53"/>
      <c r="V10" s="53"/>
    </row>
    <row r="11" spans="1:22" ht="45" customHeight="1" x14ac:dyDescent="0.2">
      <c r="A11" s="53" t="s">
        <v>5</v>
      </c>
      <c r="B11" s="53" t="s">
        <v>347</v>
      </c>
      <c r="C11" s="53" t="s">
        <v>87</v>
      </c>
      <c r="D11" s="53" t="s">
        <v>1189</v>
      </c>
      <c r="E11" s="54" t="s">
        <v>1208</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347</v>
      </c>
      <c r="C12" s="53" t="s">
        <v>87</v>
      </c>
      <c r="D12" s="53"/>
      <c r="E12" s="54"/>
      <c r="F12" s="53"/>
      <c r="G12" s="53"/>
      <c r="H12" s="53"/>
      <c r="I12" s="53" t="s">
        <v>1190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x14ac:dyDescent="0.2">
      <c r="A1" s="146" t="s">
        <v>1194</v>
      </c>
      <c r="B1" s="147"/>
      <c r="C1" s="147"/>
      <c r="D1" s="147"/>
      <c r="E1" s="147"/>
      <c r="F1" s="147"/>
      <c r="G1" s="147"/>
      <c r="H1" s="147"/>
      <c r="I1" s="147"/>
      <c r="J1" s="147"/>
      <c r="K1" s="147"/>
      <c r="L1" s="147"/>
      <c r="M1" s="147"/>
      <c r="N1" s="147"/>
      <c r="O1" s="148"/>
      <c r="P1" s="157" t="s">
        <v>1225</v>
      </c>
      <c r="Q1" s="158"/>
      <c r="R1" s="158"/>
      <c r="S1" s="158"/>
      <c r="T1" s="158"/>
      <c r="U1" s="158"/>
      <c r="V1" s="158"/>
      <c r="W1" s="158"/>
      <c r="X1" s="158"/>
      <c r="Y1" s="158"/>
      <c r="Z1" s="158"/>
      <c r="AA1" s="158"/>
      <c r="AB1" s="158"/>
      <c r="AC1" s="158"/>
      <c r="AD1" s="158"/>
      <c r="AE1" s="158"/>
      <c r="AF1" s="158"/>
      <c r="AG1" s="158"/>
      <c r="AH1" s="158"/>
      <c r="AI1" s="158"/>
    </row>
    <row r="2" spans="1:35" s="1" customFormat="1" ht="43" customHeight="1" x14ac:dyDescent="0.2">
      <c r="A2" s="27" t="s">
        <v>0</v>
      </c>
      <c r="B2" s="27" t="s">
        <v>6</v>
      </c>
      <c r="C2" s="27" t="s">
        <v>855</v>
      </c>
      <c r="D2" s="27" t="s">
        <v>1070</v>
      </c>
      <c r="E2" s="27" t="s">
        <v>856</v>
      </c>
      <c r="F2" s="27" t="s">
        <v>857</v>
      </c>
      <c r="G2" s="27" t="s">
        <v>858</v>
      </c>
      <c r="H2" s="27" t="s">
        <v>1213</v>
      </c>
      <c r="I2" s="27" t="s">
        <v>1214</v>
      </c>
      <c r="J2" s="27" t="s">
        <v>859</v>
      </c>
      <c r="K2" s="27" t="s">
        <v>860</v>
      </c>
      <c r="L2" s="27" t="s">
        <v>861</v>
      </c>
      <c r="M2" s="27" t="s">
        <v>862</v>
      </c>
      <c r="N2" s="27" t="s">
        <v>1236</v>
      </c>
      <c r="O2" s="27" t="s">
        <v>863</v>
      </c>
      <c r="P2" s="27" t="s">
        <v>864</v>
      </c>
      <c r="Q2" s="27" t="s">
        <v>82</v>
      </c>
      <c r="R2" s="27" t="s">
        <v>785</v>
      </c>
      <c r="S2" s="27" t="s">
        <v>427</v>
      </c>
      <c r="T2" s="27" t="s">
        <v>786</v>
      </c>
      <c r="U2" s="27" t="s">
        <v>865</v>
      </c>
      <c r="V2" s="27" t="s">
        <v>1215</v>
      </c>
      <c r="W2" s="27" t="s">
        <v>81</v>
      </c>
      <c r="X2" s="27" t="s">
        <v>1071</v>
      </c>
      <c r="Y2" s="27" t="s">
        <v>866</v>
      </c>
      <c r="Z2" s="27" t="s">
        <v>867</v>
      </c>
      <c r="AA2" s="27" t="s">
        <v>1217</v>
      </c>
      <c r="AB2" s="27" t="s">
        <v>868</v>
      </c>
      <c r="AC2" s="27" t="s">
        <v>92</v>
      </c>
      <c r="AD2" s="27" t="s">
        <v>417</v>
      </c>
      <c r="AE2" s="27" t="s">
        <v>869</v>
      </c>
      <c r="AF2" s="27" t="s">
        <v>870</v>
      </c>
      <c r="AG2" s="27" t="s">
        <v>1072</v>
      </c>
      <c r="AH2" s="27" t="s">
        <v>1073</v>
      </c>
      <c r="AI2" s="27" t="s">
        <v>1079</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x14ac:dyDescent="0.2">
      <c r="A4" s="54" t="s">
        <v>313</v>
      </c>
      <c r="B4" s="95" t="s">
        <v>548</v>
      </c>
      <c r="C4" s="95" t="s">
        <v>871</v>
      </c>
      <c r="D4" s="95" t="s">
        <v>1074</v>
      </c>
      <c r="E4" s="95" t="s">
        <v>1075</v>
      </c>
      <c r="F4" s="95" t="s">
        <v>873</v>
      </c>
      <c r="G4" s="95" t="b">
        <v>1</v>
      </c>
      <c r="H4" s="95" t="s">
        <v>1212</v>
      </c>
      <c r="I4" s="95" t="s">
        <v>1212</v>
      </c>
      <c r="J4" s="54" t="b">
        <v>0</v>
      </c>
      <c r="K4" s="95" t="s">
        <v>874</v>
      </c>
      <c r="L4" s="95" t="s">
        <v>875</v>
      </c>
      <c r="M4" s="95" t="s">
        <v>883</v>
      </c>
      <c r="N4" s="95" t="s">
        <v>1237</v>
      </c>
      <c r="O4" s="95" t="s">
        <v>1075</v>
      </c>
      <c r="P4" s="95">
        <v>1</v>
      </c>
      <c r="Q4" s="95" t="s">
        <v>876</v>
      </c>
      <c r="R4" s="95">
        <v>32</v>
      </c>
      <c r="S4" s="95" t="s">
        <v>884</v>
      </c>
      <c r="T4" s="95">
        <v>32</v>
      </c>
      <c r="U4" s="95" t="s">
        <v>885</v>
      </c>
      <c r="V4" s="95" t="s">
        <v>1216</v>
      </c>
      <c r="W4" s="95" t="s">
        <v>96</v>
      </c>
      <c r="X4" s="95" t="s">
        <v>1076</v>
      </c>
      <c r="Y4" s="95"/>
      <c r="Z4" s="95"/>
      <c r="AA4" s="95"/>
      <c r="AB4" s="96" t="s">
        <v>877</v>
      </c>
      <c r="AC4" s="95" t="s">
        <v>100</v>
      </c>
      <c r="AD4" s="95"/>
      <c r="AE4" s="96"/>
      <c r="AF4" s="96"/>
      <c r="AG4" s="96"/>
      <c r="AH4" s="96"/>
      <c r="AI4" s="96"/>
    </row>
    <row r="5" spans="1:35" ht="34" customHeight="1" x14ac:dyDescent="0.2">
      <c r="A5" s="54" t="s">
        <v>313</v>
      </c>
      <c r="B5" s="54"/>
      <c r="C5" s="54"/>
      <c r="D5" s="95"/>
      <c r="E5" s="53"/>
      <c r="F5" s="54"/>
      <c r="G5" s="54"/>
      <c r="H5" s="54"/>
      <c r="I5" s="54"/>
      <c r="J5" s="54"/>
      <c r="K5" s="54"/>
      <c r="L5" s="54"/>
      <c r="M5" s="54"/>
      <c r="N5" s="54" t="s">
        <v>1238</v>
      </c>
      <c r="O5" s="95" t="s">
        <v>1075</v>
      </c>
      <c r="P5" s="54">
        <v>2</v>
      </c>
      <c r="Q5" s="54" t="s">
        <v>879</v>
      </c>
      <c r="R5" s="54">
        <v>16</v>
      </c>
      <c r="S5" s="54" t="s">
        <v>884</v>
      </c>
      <c r="T5" s="54">
        <v>32</v>
      </c>
      <c r="U5" s="54"/>
      <c r="V5" s="95" t="s">
        <v>1216</v>
      </c>
      <c r="W5" s="54" t="s">
        <v>87</v>
      </c>
      <c r="X5" s="95" t="s">
        <v>1077</v>
      </c>
      <c r="Y5" s="54"/>
      <c r="Z5" s="54"/>
      <c r="AA5" s="54"/>
      <c r="AB5" s="53" t="s">
        <v>880</v>
      </c>
      <c r="AC5" s="54" t="s">
        <v>100</v>
      </c>
      <c r="AD5" s="54"/>
      <c r="AE5" s="53"/>
      <c r="AF5" s="53"/>
      <c r="AG5" s="53"/>
      <c r="AH5" s="53"/>
      <c r="AI5" s="53"/>
    </row>
    <row r="6" spans="1:35" ht="31" customHeight="1" x14ac:dyDescent="0.2">
      <c r="A6" s="54" t="s">
        <v>313</v>
      </c>
      <c r="B6" s="95" t="s">
        <v>548</v>
      </c>
      <c r="C6" s="54" t="s">
        <v>881</v>
      </c>
      <c r="D6" s="54" t="s">
        <v>1078</v>
      </c>
      <c r="E6" s="54" t="s">
        <v>1075</v>
      </c>
      <c r="F6" s="54" t="s">
        <v>882</v>
      </c>
      <c r="G6" s="54" t="b">
        <v>0</v>
      </c>
      <c r="H6" s="95" t="s">
        <v>1212</v>
      </c>
      <c r="I6" s="95" t="s">
        <v>1212</v>
      </c>
      <c r="J6" s="54" t="b">
        <v>0</v>
      </c>
      <c r="K6" s="54"/>
      <c r="L6" s="54"/>
      <c r="M6" s="54"/>
      <c r="N6" s="54" t="s">
        <v>1239</v>
      </c>
      <c r="O6" s="95" t="s">
        <v>1075</v>
      </c>
      <c r="P6" s="54">
        <v>1</v>
      </c>
      <c r="Q6" s="54" t="s">
        <v>876</v>
      </c>
      <c r="R6" s="54">
        <v>32</v>
      </c>
      <c r="S6" s="54" t="s">
        <v>884</v>
      </c>
      <c r="T6" s="54">
        <v>32</v>
      </c>
      <c r="U6" s="95" t="s">
        <v>885</v>
      </c>
      <c r="V6" s="95" t="s">
        <v>1216</v>
      </c>
      <c r="W6" s="54" t="s">
        <v>96</v>
      </c>
      <c r="X6" s="95" t="s">
        <v>1077</v>
      </c>
      <c r="Y6" s="54">
        <v>2</v>
      </c>
      <c r="Z6" s="54"/>
      <c r="AA6" s="95" t="s">
        <v>1216</v>
      </c>
      <c r="AB6" s="97"/>
      <c r="AC6" s="54" t="s">
        <v>100</v>
      </c>
      <c r="AD6" s="54"/>
      <c r="AE6" s="53"/>
      <c r="AF6" s="53"/>
      <c r="AG6" s="53"/>
      <c r="AH6" s="53"/>
      <c r="AI6" s="54" t="s">
        <v>1080</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42" t="s">
        <v>1195</v>
      </c>
      <c r="B1" s="142"/>
      <c r="C1" s="142"/>
      <c r="D1" s="142"/>
      <c r="E1" s="142"/>
      <c r="F1" s="142"/>
      <c r="G1" s="142"/>
      <c r="H1" s="142"/>
      <c r="I1" s="142"/>
      <c r="J1" s="142"/>
      <c r="K1" s="142"/>
      <c r="L1" s="142"/>
      <c r="M1" s="142"/>
      <c r="N1" s="142"/>
      <c r="O1" s="142"/>
      <c r="P1" s="142"/>
      <c r="Q1" s="142"/>
      <c r="R1" s="142"/>
      <c r="S1" s="142"/>
    </row>
    <row r="2" spans="1:19" ht="43" customHeight="1" x14ac:dyDescent="0.2">
      <c r="A2" s="15" t="s">
        <v>0</v>
      </c>
      <c r="B2" s="15" t="s">
        <v>6</v>
      </c>
      <c r="C2" s="4" t="s">
        <v>134</v>
      </c>
      <c r="D2" s="15" t="s">
        <v>784</v>
      </c>
      <c r="E2" s="15" t="s">
        <v>647</v>
      </c>
      <c r="F2" s="15" t="s">
        <v>648</v>
      </c>
      <c r="G2" s="15" t="s">
        <v>1207</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x14ac:dyDescent="0.2">
      <c r="A3" s="32" t="s">
        <v>4</v>
      </c>
      <c r="C3" s="33"/>
      <c r="D3" s="33"/>
      <c r="E3" s="32"/>
      <c r="F3" s="32"/>
      <c r="I3" s="32"/>
      <c r="J3" s="32"/>
      <c r="K3" s="32"/>
      <c r="L3" s="32"/>
      <c r="M3" s="32"/>
      <c r="N3" s="32"/>
      <c r="O3" s="32"/>
      <c r="P3" s="32"/>
      <c r="Q3" s="33"/>
      <c r="R3" s="33"/>
      <c r="S3" s="33"/>
    </row>
    <row r="4" spans="1:19" ht="65.5" customHeight="1" x14ac:dyDescent="0.2">
      <c r="A4" s="53" t="s">
        <v>5</v>
      </c>
      <c r="B4" s="84" t="s">
        <v>347</v>
      </c>
      <c r="C4" s="53" t="s">
        <v>392</v>
      </c>
      <c r="D4" s="53" t="s">
        <v>142</v>
      </c>
      <c r="E4" s="53"/>
      <c r="F4" s="53"/>
      <c r="G4" s="54" t="s">
        <v>1208</v>
      </c>
      <c r="H4" s="54" t="b">
        <v>1</v>
      </c>
      <c r="I4" s="53"/>
      <c r="J4" s="53"/>
      <c r="K4" s="54" t="s">
        <v>143</v>
      </c>
      <c r="L4" s="53" t="s">
        <v>144</v>
      </c>
      <c r="M4" s="53"/>
      <c r="N4" s="53"/>
      <c r="O4" s="53" t="s">
        <v>145</v>
      </c>
      <c r="P4" s="54" t="s">
        <v>146</v>
      </c>
      <c r="Q4" s="53" t="s">
        <v>411</v>
      </c>
      <c r="R4" s="87" t="s">
        <v>413</v>
      </c>
      <c r="S4" s="54" t="s">
        <v>426</v>
      </c>
    </row>
    <row r="5" spans="1:19" ht="37.5" customHeight="1" x14ac:dyDescent="0.2">
      <c r="A5" s="53"/>
      <c r="B5" s="84"/>
      <c r="C5" s="53"/>
      <c r="D5" s="53"/>
      <c r="E5" s="53"/>
      <c r="F5" s="53"/>
      <c r="G5" s="54"/>
      <c r="H5" s="54"/>
      <c r="I5" s="53"/>
      <c r="J5" s="53"/>
      <c r="K5" s="54"/>
      <c r="L5" s="53" t="s">
        <v>147</v>
      </c>
      <c r="M5" s="53"/>
      <c r="N5" s="53"/>
      <c r="O5" s="53" t="s">
        <v>145</v>
      </c>
      <c r="P5" s="54" t="s">
        <v>146</v>
      </c>
      <c r="Q5" s="53"/>
      <c r="R5" s="53"/>
      <c r="S5" s="53"/>
    </row>
    <row r="6" spans="1:19" ht="65" customHeight="1" x14ac:dyDescent="0.2">
      <c r="A6" s="53" t="s">
        <v>5</v>
      </c>
      <c r="B6" s="53" t="s">
        <v>347</v>
      </c>
      <c r="C6" s="53" t="s">
        <v>393</v>
      </c>
      <c r="D6" s="53" t="s">
        <v>148</v>
      </c>
      <c r="E6" s="53"/>
      <c r="F6" s="53"/>
      <c r="G6" s="54" t="s">
        <v>1208</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x14ac:dyDescent="0.2">
      <c r="A1" s="146" t="s">
        <v>1196</v>
      </c>
      <c r="B1" s="147"/>
      <c r="C1" s="147"/>
      <c r="D1" s="147"/>
      <c r="E1" s="147"/>
      <c r="F1" s="147"/>
      <c r="G1" s="147"/>
      <c r="H1" s="147"/>
      <c r="I1" s="147"/>
      <c r="J1" s="147"/>
      <c r="K1" s="147"/>
      <c r="L1" s="147"/>
      <c r="M1" s="147"/>
      <c r="N1" s="147"/>
      <c r="O1" s="147"/>
      <c r="P1" s="147"/>
      <c r="Q1" s="147"/>
      <c r="R1" s="147"/>
      <c r="S1" s="147"/>
      <c r="T1" s="147"/>
      <c r="U1" s="147"/>
      <c r="V1" s="148"/>
    </row>
    <row r="2" spans="1:22" ht="58.5" customHeight="1" x14ac:dyDescent="0.2">
      <c r="A2" s="34" t="s">
        <v>0</v>
      </c>
      <c r="B2" s="34" t="s">
        <v>6</v>
      </c>
      <c r="C2" s="35" t="s">
        <v>134</v>
      </c>
      <c r="D2" s="27" t="s">
        <v>787</v>
      </c>
      <c r="E2" s="34" t="s">
        <v>795</v>
      </c>
      <c r="F2" s="34" t="s">
        <v>152</v>
      </c>
      <c r="G2" s="34" t="s">
        <v>1232</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347</v>
      </c>
      <c r="C4" s="53" t="s">
        <v>392</v>
      </c>
      <c r="D4" s="53"/>
      <c r="E4" s="53"/>
      <c r="F4" s="53" t="s">
        <v>163</v>
      </c>
      <c r="G4" s="53" t="s">
        <v>1233</v>
      </c>
      <c r="H4" s="53" t="s">
        <v>164</v>
      </c>
      <c r="I4" s="53" t="s">
        <v>165</v>
      </c>
      <c r="J4" s="53">
        <v>80</v>
      </c>
      <c r="K4" s="53" t="s">
        <v>166</v>
      </c>
      <c r="L4" s="53">
        <v>10000</v>
      </c>
      <c r="M4" s="53" t="s">
        <v>167</v>
      </c>
      <c r="N4" s="53" t="s">
        <v>168</v>
      </c>
      <c r="O4" s="53" t="b">
        <v>1</v>
      </c>
      <c r="P4" s="53" t="s">
        <v>166</v>
      </c>
      <c r="Q4" s="53" t="s">
        <v>23</v>
      </c>
      <c r="R4" s="53" t="s">
        <v>97</v>
      </c>
      <c r="S4" s="53" t="s">
        <v>411</v>
      </c>
      <c r="T4" s="88" t="s">
        <v>412</v>
      </c>
      <c r="U4" s="53">
        <v>2</v>
      </c>
      <c r="V4" s="53" t="b">
        <v>1</v>
      </c>
    </row>
    <row r="5" spans="1:22" x14ac:dyDescent="0.2">
      <c r="A5" s="53"/>
      <c r="B5" s="53"/>
      <c r="C5" s="53"/>
      <c r="D5" s="53" t="s">
        <v>150</v>
      </c>
      <c r="E5" s="53"/>
      <c r="F5" s="53" t="s">
        <v>169</v>
      </c>
      <c r="G5" s="53" t="s">
        <v>1234</v>
      </c>
      <c r="H5" s="53" t="s">
        <v>164</v>
      </c>
      <c r="I5" s="53" t="s">
        <v>165</v>
      </c>
      <c r="J5" s="53">
        <v>443</v>
      </c>
      <c r="K5" s="53"/>
      <c r="L5" s="53"/>
      <c r="M5" s="53" t="s">
        <v>170</v>
      </c>
      <c r="N5" s="53" t="s">
        <v>171</v>
      </c>
      <c r="O5" s="53" t="b">
        <v>1</v>
      </c>
      <c r="P5" s="53"/>
      <c r="Q5" s="53" t="s">
        <v>21</v>
      </c>
      <c r="R5" s="53"/>
      <c r="S5" s="53"/>
      <c r="T5" s="53"/>
      <c r="U5" s="53"/>
      <c r="V5" s="53"/>
    </row>
    <row r="6" spans="1:22" ht="28.75" customHeight="1" x14ac:dyDescent="0.2">
      <c r="A6" s="53" t="s">
        <v>5</v>
      </c>
      <c r="B6" s="53" t="s">
        <v>347</v>
      </c>
      <c r="C6" s="53" t="s">
        <v>393</v>
      </c>
      <c r="D6" s="53"/>
      <c r="E6" s="53"/>
      <c r="F6" s="53" t="s">
        <v>172</v>
      </c>
      <c r="G6" s="53" t="s">
        <v>1235</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x14ac:dyDescent="0.2">
      <c r="A1" s="142" t="s">
        <v>1031</v>
      </c>
      <c r="B1" s="142"/>
      <c r="C1" s="142"/>
      <c r="D1" s="142"/>
      <c r="E1" s="142"/>
      <c r="F1" s="142"/>
      <c r="G1" s="142"/>
      <c r="H1" s="142"/>
      <c r="I1" s="142"/>
      <c r="J1" s="142"/>
      <c r="K1" s="142"/>
      <c r="L1" s="142"/>
      <c r="M1" s="142"/>
      <c r="N1" s="142"/>
      <c r="O1" s="142"/>
      <c r="P1" s="142"/>
      <c r="Q1" s="142"/>
    </row>
    <row r="2" spans="1:17" ht="46.5" customHeight="1" x14ac:dyDescent="0.2">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392</v>
      </c>
      <c r="C4" s="53" t="s">
        <v>163</v>
      </c>
      <c r="D4" s="53" t="s">
        <v>243</v>
      </c>
      <c r="E4" s="53" t="s">
        <v>228</v>
      </c>
      <c r="F4" s="53" t="s">
        <v>188</v>
      </c>
      <c r="G4" s="53" t="s">
        <v>23</v>
      </c>
      <c r="H4" s="53"/>
      <c r="I4" s="53"/>
      <c r="J4" s="53" t="s">
        <v>362</v>
      </c>
      <c r="K4" s="53"/>
      <c r="L4" s="53"/>
      <c r="M4" s="53"/>
      <c r="N4" s="53" t="s">
        <v>411</v>
      </c>
      <c r="O4" s="88" t="s">
        <v>412</v>
      </c>
      <c r="P4" s="53">
        <v>2</v>
      </c>
      <c r="Q4" s="53" t="b">
        <v>1</v>
      </c>
    </row>
    <row r="5" spans="1:17" x14ac:dyDescent="0.2">
      <c r="A5" s="53"/>
      <c r="B5" s="53"/>
      <c r="C5" s="53" t="s">
        <v>169</v>
      </c>
      <c r="D5" s="53"/>
      <c r="E5" s="53" t="s">
        <v>231</v>
      </c>
      <c r="F5" s="53" t="s">
        <v>224</v>
      </c>
      <c r="G5" s="53" t="s">
        <v>23</v>
      </c>
      <c r="H5" s="53"/>
      <c r="I5" s="53"/>
      <c r="J5" s="53" t="s">
        <v>421</v>
      </c>
      <c r="K5" s="53"/>
      <c r="L5" s="53"/>
      <c r="M5" s="53"/>
      <c r="N5" s="53"/>
      <c r="O5" s="53"/>
      <c r="P5" s="53"/>
      <c r="Q5" s="53"/>
    </row>
    <row r="6" spans="1:17" x14ac:dyDescent="0.2">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6" t="s">
        <v>424</v>
      </c>
      <c r="B1" s="147"/>
      <c r="C1" s="147"/>
      <c r="D1" s="147"/>
      <c r="E1" s="147"/>
      <c r="F1" s="147"/>
      <c r="G1" s="147"/>
      <c r="H1" s="147"/>
      <c r="I1" s="147"/>
      <c r="J1" s="149" t="s">
        <v>435</v>
      </c>
      <c r="K1" s="163"/>
      <c r="L1" s="163"/>
      <c r="M1" s="163"/>
      <c r="N1" s="163"/>
      <c r="O1" s="163"/>
      <c r="P1" s="163"/>
      <c r="Q1" s="163"/>
      <c r="R1" s="163"/>
      <c r="S1" s="164"/>
    </row>
    <row r="2" spans="1:19" ht="58.75" customHeight="1" x14ac:dyDescent="0.2">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392</v>
      </c>
      <c r="C4" s="53" t="s">
        <v>188</v>
      </c>
      <c r="D4" s="53" t="s">
        <v>189</v>
      </c>
      <c r="E4" s="53" t="s">
        <v>395</v>
      </c>
      <c r="F4" s="53"/>
      <c r="G4" s="53"/>
      <c r="H4" s="53"/>
      <c r="I4" s="53"/>
      <c r="J4" s="53"/>
      <c r="K4" s="53"/>
      <c r="L4" s="53"/>
      <c r="M4" s="53"/>
      <c r="N4" s="53"/>
      <c r="O4" s="53"/>
      <c r="P4" s="53"/>
      <c r="Q4" s="53"/>
      <c r="R4" s="53">
        <v>405</v>
      </c>
      <c r="S4" s="53"/>
    </row>
    <row r="5" spans="1:19" x14ac:dyDescent="0.2">
      <c r="A5" s="53"/>
      <c r="B5" s="53"/>
      <c r="C5" s="53"/>
      <c r="D5" s="53"/>
      <c r="E5" s="53" t="s">
        <v>191</v>
      </c>
      <c r="F5" s="53"/>
      <c r="G5" s="53"/>
      <c r="H5" s="53"/>
      <c r="I5" s="53"/>
      <c r="J5" s="53"/>
      <c r="K5" s="53"/>
      <c r="L5" s="53"/>
      <c r="M5" s="53"/>
      <c r="N5" s="53"/>
      <c r="O5" s="53"/>
      <c r="P5" s="53"/>
      <c r="Q5" s="53"/>
      <c r="R5" s="53"/>
      <c r="S5" s="53"/>
    </row>
    <row r="6" spans="1:19" x14ac:dyDescent="0.2">
      <c r="A6" s="53"/>
      <c r="B6" s="53"/>
      <c r="C6" s="53"/>
      <c r="D6" s="53"/>
      <c r="E6" s="53" t="s">
        <v>192</v>
      </c>
      <c r="F6" s="53"/>
      <c r="G6" s="53"/>
      <c r="H6" s="53"/>
      <c r="I6" s="53"/>
      <c r="J6" s="53"/>
      <c r="K6" s="53"/>
      <c r="L6" s="53"/>
      <c r="M6" s="53"/>
      <c r="N6" s="53"/>
      <c r="O6" s="53"/>
      <c r="P6" s="53"/>
      <c r="Q6" s="53"/>
      <c r="R6" s="53"/>
      <c r="S6" s="53"/>
    </row>
    <row r="7" spans="1:19" x14ac:dyDescent="0.2">
      <c r="A7" s="53"/>
      <c r="B7" s="53"/>
      <c r="C7" s="53"/>
      <c r="D7" s="53"/>
      <c r="E7" s="53" t="s">
        <v>193</v>
      </c>
      <c r="F7" s="53"/>
      <c r="G7" s="53"/>
      <c r="H7" s="53"/>
      <c r="I7" s="53"/>
      <c r="J7" s="53"/>
      <c r="K7" s="53"/>
      <c r="L7" s="53"/>
      <c r="M7" s="53"/>
      <c r="N7" s="53"/>
      <c r="O7" s="53"/>
      <c r="P7" s="53"/>
      <c r="Q7" s="53"/>
      <c r="R7" s="53"/>
      <c r="S7" s="53"/>
    </row>
    <row r="8" spans="1:19" x14ac:dyDescent="0.2">
      <c r="A8" s="53"/>
      <c r="B8" s="53"/>
      <c r="C8" s="53"/>
      <c r="D8" s="53"/>
      <c r="E8" s="53" t="s">
        <v>194</v>
      </c>
      <c r="F8" s="53"/>
      <c r="G8" s="53"/>
      <c r="H8" s="53"/>
      <c r="I8" s="53"/>
      <c r="J8" s="53"/>
      <c r="K8" s="53"/>
      <c r="L8" s="53"/>
      <c r="M8" s="53"/>
      <c r="N8" s="53"/>
      <c r="O8" s="53"/>
      <c r="P8" s="53">
        <v>301</v>
      </c>
      <c r="Q8" s="53"/>
      <c r="R8" s="53"/>
      <c r="S8" s="53"/>
    </row>
    <row r="9" spans="1:19" x14ac:dyDescent="0.2">
      <c r="A9" s="53"/>
      <c r="B9" s="53"/>
      <c r="C9" s="53"/>
      <c r="D9" s="53" t="s">
        <v>195</v>
      </c>
      <c r="E9" s="53"/>
      <c r="F9" s="53" t="b">
        <v>1</v>
      </c>
      <c r="G9" s="53">
        <v>32</v>
      </c>
      <c r="H9" s="53"/>
      <c r="I9" s="53"/>
      <c r="J9" s="53"/>
      <c r="K9" s="53"/>
      <c r="L9" s="53"/>
      <c r="M9" s="53"/>
      <c r="N9" s="53"/>
      <c r="O9" s="53"/>
      <c r="P9" s="53"/>
      <c r="Q9" s="53"/>
      <c r="R9" s="53"/>
      <c r="S9" s="53"/>
    </row>
    <row r="10" spans="1:19" x14ac:dyDescent="0.2">
      <c r="A10" s="53"/>
      <c r="B10" s="53"/>
      <c r="C10" s="53"/>
      <c r="D10" s="53" t="s">
        <v>196</v>
      </c>
      <c r="E10" s="53"/>
      <c r="F10" s="53"/>
      <c r="G10" s="53"/>
      <c r="H10" s="53" t="s">
        <v>197</v>
      </c>
      <c r="I10" s="53" t="s">
        <v>198</v>
      </c>
      <c r="J10" s="53" t="s">
        <v>199</v>
      </c>
      <c r="K10" s="53"/>
      <c r="L10" s="53"/>
      <c r="M10" s="53"/>
      <c r="N10" s="53"/>
      <c r="O10" s="53"/>
      <c r="P10" s="53"/>
      <c r="Q10" s="53"/>
      <c r="R10" s="53"/>
      <c r="S10" s="53"/>
    </row>
    <row r="11" spans="1:19" x14ac:dyDescent="0.2">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x14ac:dyDescent="0.2">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x14ac:dyDescent="0.2">
      <c r="A13" s="53"/>
      <c r="B13" s="53"/>
      <c r="C13" s="53"/>
      <c r="D13" s="53" t="s">
        <v>209</v>
      </c>
      <c r="E13" s="53"/>
      <c r="F13" s="53"/>
      <c r="G13" s="53"/>
      <c r="H13" s="53"/>
      <c r="I13" s="53"/>
      <c r="J13" s="53"/>
      <c r="K13" s="53"/>
      <c r="L13" s="53" t="s">
        <v>210</v>
      </c>
      <c r="M13" s="53"/>
      <c r="N13" s="53"/>
      <c r="O13" s="53"/>
      <c r="P13" s="53"/>
      <c r="Q13" s="53" t="s">
        <v>211</v>
      </c>
      <c r="R13" s="53"/>
      <c r="S13" s="53"/>
    </row>
    <row r="14" spans="1:19" x14ac:dyDescent="0.2">
      <c r="A14" s="53"/>
      <c r="B14" s="53"/>
      <c r="C14" s="53"/>
      <c r="D14" s="53" t="s">
        <v>212</v>
      </c>
      <c r="E14" s="53"/>
      <c r="F14" s="53"/>
      <c r="G14" s="53"/>
      <c r="H14" s="53"/>
      <c r="I14" s="53"/>
      <c r="J14" s="53"/>
      <c r="K14" s="53"/>
      <c r="L14" s="53" t="s">
        <v>213</v>
      </c>
      <c r="M14" s="53"/>
      <c r="N14" s="53"/>
      <c r="O14" s="53"/>
      <c r="P14" s="53"/>
      <c r="Q14" s="53"/>
      <c r="R14" s="53"/>
      <c r="S14" s="53" t="s">
        <v>151</v>
      </c>
    </row>
    <row r="15" spans="1:19" x14ac:dyDescent="0.2">
      <c r="A15" s="53"/>
      <c r="B15" s="53"/>
      <c r="C15" s="53"/>
      <c r="D15" s="53" t="s">
        <v>214</v>
      </c>
      <c r="E15" s="53"/>
      <c r="F15" s="53"/>
      <c r="G15" s="53"/>
      <c r="H15" s="53"/>
      <c r="I15" s="53"/>
      <c r="J15" s="53"/>
      <c r="K15" s="53"/>
      <c r="L15" s="53" t="s">
        <v>215</v>
      </c>
      <c r="M15" s="53"/>
      <c r="N15" s="53"/>
      <c r="O15" s="53"/>
      <c r="P15" s="53"/>
      <c r="Q15" s="53"/>
      <c r="R15" s="53"/>
      <c r="S15" s="53"/>
    </row>
    <row r="16" spans="1:19" x14ac:dyDescent="0.2">
      <c r="A16" s="53"/>
      <c r="B16" s="53"/>
      <c r="C16" s="53"/>
      <c r="D16" s="53" t="s">
        <v>216</v>
      </c>
      <c r="E16" s="53"/>
      <c r="F16" s="53"/>
      <c r="G16" s="53"/>
      <c r="H16" s="53"/>
      <c r="I16" s="53"/>
      <c r="J16" s="53"/>
      <c r="K16" s="53"/>
      <c r="L16" s="53" t="s">
        <v>217</v>
      </c>
      <c r="M16" s="53"/>
      <c r="N16" s="53"/>
      <c r="O16" s="53"/>
      <c r="P16" s="53"/>
      <c r="Q16" s="53"/>
      <c r="R16" s="53"/>
      <c r="S16" s="53" t="s">
        <v>218</v>
      </c>
    </row>
    <row r="17" spans="1:19" x14ac:dyDescent="0.2">
      <c r="A17" s="53"/>
      <c r="B17" s="53"/>
      <c r="C17" s="53"/>
      <c r="D17" s="53" t="s">
        <v>219</v>
      </c>
      <c r="E17" s="53"/>
      <c r="F17" s="53"/>
      <c r="G17" s="53"/>
      <c r="H17" s="53"/>
      <c r="I17" s="53"/>
      <c r="J17" s="53"/>
      <c r="K17" s="53"/>
      <c r="L17" s="53" t="s">
        <v>220</v>
      </c>
      <c r="M17" s="53"/>
      <c r="N17" s="53"/>
      <c r="O17" s="53"/>
      <c r="P17" s="53"/>
      <c r="Q17" s="53"/>
      <c r="R17" s="53"/>
      <c r="S17" s="53"/>
    </row>
    <row r="18" spans="1:19" x14ac:dyDescent="0.2">
      <c r="A18" s="53"/>
      <c r="B18" s="53"/>
      <c r="C18" s="53"/>
      <c r="D18" s="53" t="s">
        <v>221</v>
      </c>
      <c r="E18" s="53"/>
      <c r="F18" s="53"/>
      <c r="G18" s="53"/>
      <c r="H18" s="53"/>
      <c r="I18" s="53"/>
      <c r="J18" s="53"/>
      <c r="K18" s="53"/>
      <c r="L18" s="53" t="s">
        <v>222</v>
      </c>
      <c r="M18" s="53"/>
      <c r="N18" s="53"/>
      <c r="O18" s="53"/>
      <c r="P18" s="53"/>
      <c r="Q18" s="53" t="s">
        <v>223</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224</v>
      </c>
      <c r="D20" s="53" t="s">
        <v>189</v>
      </c>
      <c r="E20" s="53" t="s">
        <v>190</v>
      </c>
      <c r="F20" s="53"/>
      <c r="G20" s="53"/>
      <c r="H20" s="53"/>
      <c r="I20" s="53"/>
      <c r="J20" s="53"/>
      <c r="K20" s="53"/>
      <c r="L20" s="53"/>
      <c r="M20" s="53"/>
      <c r="N20" s="53"/>
      <c r="O20" s="53"/>
      <c r="P20" s="53"/>
      <c r="Q20" s="53"/>
      <c r="R20" s="53"/>
      <c r="S20" s="53"/>
    </row>
    <row r="21" spans="1:19" x14ac:dyDescent="0.2">
      <c r="A21" s="53"/>
      <c r="B21" s="53"/>
      <c r="C21" s="53"/>
      <c r="D21" s="53"/>
      <c r="E21" s="53" t="s">
        <v>191</v>
      </c>
      <c r="F21" s="53"/>
      <c r="G21" s="53"/>
      <c r="H21" s="53"/>
      <c r="I21" s="53"/>
      <c r="J21" s="53"/>
      <c r="K21" s="53"/>
      <c r="L21" s="53"/>
      <c r="M21" s="53"/>
      <c r="N21" s="53"/>
      <c r="O21" s="53"/>
      <c r="P21" s="53"/>
      <c r="Q21" s="53"/>
      <c r="R21" s="53"/>
      <c r="S21" s="53"/>
    </row>
    <row r="22" spans="1:19" x14ac:dyDescent="0.2">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x14ac:dyDescent="0.2">
      <c r="A23" s="53"/>
      <c r="B23" s="53"/>
      <c r="C23" s="53"/>
      <c r="D23" s="53"/>
      <c r="E23" s="53" t="s">
        <v>191</v>
      </c>
      <c r="F23" s="53"/>
      <c r="G23" s="53"/>
      <c r="H23" s="53"/>
      <c r="I23" s="53"/>
      <c r="J23" s="53" t="s">
        <v>915</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42" t="s">
        <v>425</v>
      </c>
      <c r="B1" s="150"/>
      <c r="C1" s="150"/>
      <c r="D1" s="150"/>
      <c r="E1" s="150"/>
      <c r="F1" s="151"/>
    </row>
    <row r="2" spans="1:6" ht="14.5" customHeight="1" x14ac:dyDescent="0.2">
      <c r="A2" s="15" t="s">
        <v>0</v>
      </c>
      <c r="B2" s="4" t="s">
        <v>134</v>
      </c>
      <c r="C2" s="15" t="s">
        <v>226</v>
      </c>
      <c r="D2" s="15" t="s">
        <v>152</v>
      </c>
      <c r="E2" s="15" t="s">
        <v>112</v>
      </c>
      <c r="F2" s="15" t="s">
        <v>227</v>
      </c>
    </row>
    <row r="3" spans="1:6" x14ac:dyDescent="0.2">
      <c r="A3" s="33" t="s">
        <v>4</v>
      </c>
      <c r="B3" s="33"/>
      <c r="C3" s="33"/>
      <c r="D3" s="33"/>
      <c r="E3" s="33"/>
      <c r="F3" s="33"/>
    </row>
    <row r="4" spans="1:6" x14ac:dyDescent="0.2">
      <c r="A4" s="53" t="s">
        <v>5</v>
      </c>
      <c r="B4" s="53" t="s">
        <v>392</v>
      </c>
      <c r="C4" s="53" t="s">
        <v>228</v>
      </c>
      <c r="D4" s="53" t="s">
        <v>163</v>
      </c>
      <c r="E4" s="53" t="s">
        <v>229</v>
      </c>
      <c r="F4" s="53" t="s">
        <v>203</v>
      </c>
    </row>
    <row r="5" spans="1:6" x14ac:dyDescent="0.2">
      <c r="A5" s="53"/>
      <c r="B5" s="53"/>
      <c r="C5" s="53"/>
      <c r="D5" s="53" t="s">
        <v>169</v>
      </c>
      <c r="E5" s="53" t="s">
        <v>230</v>
      </c>
      <c r="F5" s="53" t="s">
        <v>207</v>
      </c>
    </row>
    <row r="6" spans="1:6" x14ac:dyDescent="0.2">
      <c r="A6" s="53"/>
      <c r="B6" s="53"/>
      <c r="C6" s="53" t="s">
        <v>231</v>
      </c>
      <c r="D6" s="53" t="s">
        <v>163</v>
      </c>
      <c r="E6" s="53" t="s">
        <v>232</v>
      </c>
      <c r="F6" s="53" t="s">
        <v>233</v>
      </c>
    </row>
    <row r="7" spans="1:6" x14ac:dyDescent="0.2">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53" t="s">
        <v>1197</v>
      </c>
      <c r="B1" s="144"/>
      <c r="C1" s="144"/>
      <c r="D1" s="145"/>
    </row>
    <row r="2" spans="1:4" ht="79" customHeight="1" x14ac:dyDescent="0.2">
      <c r="A2" s="15" t="s">
        <v>0</v>
      </c>
      <c r="B2" s="4" t="s">
        <v>134</v>
      </c>
      <c r="C2" s="15" t="s">
        <v>1198</v>
      </c>
      <c r="D2" s="15" t="s">
        <v>950</v>
      </c>
    </row>
    <row r="3" spans="1:4" ht="79" customHeight="1" x14ac:dyDescent="0.2">
      <c r="A3" s="54" t="s">
        <v>4</v>
      </c>
      <c r="B3" s="54"/>
      <c r="C3" s="54"/>
      <c r="D3" s="54"/>
    </row>
    <row r="4" spans="1:4" ht="79" customHeight="1" x14ac:dyDescent="0.2">
      <c r="A4" s="54" t="s">
        <v>5</v>
      </c>
      <c r="B4" s="54" t="s">
        <v>392</v>
      </c>
      <c r="C4" s="54" t="s">
        <v>1199</v>
      </c>
      <c r="D4" s="54" t="s">
        <v>1200</v>
      </c>
    </row>
    <row r="5" spans="1:4" ht="93.5" customHeight="1" x14ac:dyDescent="0.2">
      <c r="A5" s="54" t="s">
        <v>5</v>
      </c>
      <c r="B5" s="54" t="s">
        <v>392</v>
      </c>
      <c r="C5" s="54" t="s">
        <v>1201</v>
      </c>
      <c r="D5" s="54" t="s">
        <v>1202</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1"/>
  </cols>
  <sheetData>
    <row r="1" spans="1:14" ht="17.25" customHeight="1" x14ac:dyDescent="0.2">
      <c r="A1" s="146" t="s">
        <v>803</v>
      </c>
      <c r="B1" s="147"/>
      <c r="C1" s="147"/>
      <c r="D1" s="147"/>
      <c r="E1" s="147"/>
      <c r="F1" s="147"/>
      <c r="G1" s="147"/>
      <c r="H1" s="147"/>
      <c r="I1" s="147"/>
      <c r="J1" s="147"/>
      <c r="K1" s="147"/>
      <c r="L1" s="147"/>
      <c r="M1" s="147"/>
      <c r="N1" s="148"/>
    </row>
    <row r="2" spans="1:14" ht="58" customHeight="1" x14ac:dyDescent="0.2">
      <c r="A2" s="27" t="s">
        <v>0</v>
      </c>
      <c r="B2" s="27" t="s">
        <v>6</v>
      </c>
      <c r="C2" s="26" t="s">
        <v>804</v>
      </c>
      <c r="D2" s="27" t="s">
        <v>1207</v>
      </c>
      <c r="E2" s="27" t="s">
        <v>817</v>
      </c>
      <c r="F2" s="27" t="s">
        <v>94</v>
      </c>
      <c r="G2" s="15" t="s">
        <v>135</v>
      </c>
      <c r="H2" s="15" t="s">
        <v>90</v>
      </c>
      <c r="I2" s="27" t="s">
        <v>818</v>
      </c>
      <c r="J2" s="27" t="s">
        <v>240</v>
      </c>
      <c r="K2" s="27" t="s">
        <v>152</v>
      </c>
      <c r="L2" s="27" t="s">
        <v>819</v>
      </c>
      <c r="M2" s="27" t="s">
        <v>241</v>
      </c>
      <c r="N2" s="27" t="s">
        <v>417</v>
      </c>
    </row>
    <row r="3" spans="1:14" x14ac:dyDescent="0.2">
      <c r="A3" s="33" t="s">
        <v>4</v>
      </c>
      <c r="B3" s="33"/>
      <c r="C3" s="33"/>
      <c r="D3" s="33"/>
      <c r="E3" s="33"/>
      <c r="F3" s="33"/>
      <c r="G3" s="28"/>
      <c r="H3" s="28"/>
      <c r="I3" s="33"/>
      <c r="J3" s="33"/>
      <c r="K3" s="33"/>
      <c r="L3" s="33"/>
      <c r="M3" s="33"/>
      <c r="N3" s="33"/>
    </row>
    <row r="4" spans="1:14" ht="64" x14ac:dyDescent="0.2">
      <c r="A4" s="54" t="s">
        <v>691</v>
      </c>
      <c r="B4" s="54" t="s">
        <v>347</v>
      </c>
      <c r="C4" s="54" t="s">
        <v>807</v>
      </c>
      <c r="D4" s="54" t="s">
        <v>1218</v>
      </c>
      <c r="E4" s="54" t="b">
        <v>0</v>
      </c>
      <c r="F4" s="54" t="s">
        <v>1158</v>
      </c>
      <c r="G4" s="54" t="b">
        <v>1</v>
      </c>
      <c r="H4" s="54"/>
      <c r="I4" s="54"/>
      <c r="J4" s="54" t="s">
        <v>820</v>
      </c>
      <c r="K4" s="54" t="s">
        <v>808</v>
      </c>
      <c r="L4" s="54" t="s">
        <v>821</v>
      </c>
      <c r="M4" s="54">
        <v>7003</v>
      </c>
      <c r="N4" s="54"/>
    </row>
    <row r="5" spans="1:14" s="81" customFormat="1" ht="32" x14ac:dyDescent="0.2">
      <c r="A5" s="54" t="s">
        <v>691</v>
      </c>
      <c r="B5" s="54" t="s">
        <v>347</v>
      </c>
      <c r="C5" s="54" t="s">
        <v>811</v>
      </c>
      <c r="D5" s="54" t="s">
        <v>1219</v>
      </c>
      <c r="E5" s="54" t="b">
        <v>1</v>
      </c>
      <c r="F5" s="54"/>
      <c r="G5" s="54" t="b">
        <v>0</v>
      </c>
      <c r="H5" s="54"/>
      <c r="I5" s="54" t="s">
        <v>822</v>
      </c>
      <c r="J5" s="54" t="s">
        <v>823</v>
      </c>
      <c r="K5" s="54" t="s">
        <v>812</v>
      </c>
      <c r="L5" s="54" t="s">
        <v>814</v>
      </c>
      <c r="M5" s="54">
        <v>53</v>
      </c>
      <c r="N5" s="54"/>
    </row>
    <row r="6" spans="1:14" s="81" customFormat="1" ht="16" x14ac:dyDescent="0.2">
      <c r="A6" s="54"/>
      <c r="B6" s="54"/>
      <c r="C6" s="54"/>
      <c r="D6" s="54"/>
      <c r="E6" s="54"/>
      <c r="F6" s="54"/>
      <c r="G6" s="54"/>
      <c r="H6" s="54"/>
      <c r="I6" s="54"/>
      <c r="J6" s="54" t="s">
        <v>824</v>
      </c>
      <c r="K6" s="54" t="s">
        <v>815</v>
      </c>
      <c r="L6" s="54" t="s">
        <v>680</v>
      </c>
      <c r="M6" s="54">
        <v>22</v>
      </c>
      <c r="N6" s="54"/>
    </row>
    <row r="7" spans="1:14" s="81" customFormat="1" x14ac:dyDescent="0.2">
      <c r="A7"/>
      <c r="B7"/>
      <c r="C7"/>
      <c r="D7"/>
      <c r="E7"/>
      <c r="F7"/>
      <c r="G7"/>
      <c r="H7"/>
      <c r="I7"/>
      <c r="J7"/>
      <c r="K7"/>
      <c r="L7"/>
      <c r="M7"/>
      <c r="N7"/>
    </row>
    <row r="8" spans="1:14" s="81" customFormat="1" x14ac:dyDescent="0.2">
      <c r="A8"/>
      <c r="B8"/>
      <c r="C8"/>
      <c r="D8"/>
      <c r="E8"/>
      <c r="F8"/>
      <c r="G8"/>
      <c r="H8"/>
      <c r="I8"/>
      <c r="J8"/>
      <c r="K8"/>
      <c r="L8"/>
      <c r="M8"/>
      <c r="N8"/>
    </row>
    <row r="9" spans="1:14" s="81" customFormat="1" x14ac:dyDescent="0.2">
      <c r="A9"/>
      <c r="B9"/>
      <c r="C9"/>
      <c r="D9"/>
      <c r="E9"/>
      <c r="F9"/>
      <c r="G9"/>
      <c r="H9"/>
      <c r="I9"/>
      <c r="J9"/>
      <c r="K9"/>
      <c r="L9"/>
      <c r="M9"/>
      <c r="N9"/>
    </row>
    <row r="10" spans="1:14" s="81" customFormat="1" x14ac:dyDescent="0.2">
      <c r="A10"/>
      <c r="B10"/>
      <c r="C10"/>
      <c r="D10"/>
      <c r="E10"/>
      <c r="F10"/>
      <c r="G10"/>
      <c r="H10"/>
      <c r="I10"/>
      <c r="J10"/>
      <c r="K10"/>
      <c r="L10"/>
      <c r="M10"/>
      <c r="N10"/>
    </row>
    <row r="11" spans="1:14" s="81" customFormat="1" x14ac:dyDescent="0.2">
      <c r="A11"/>
      <c r="B11"/>
      <c r="C11"/>
      <c r="D11"/>
      <c r="E11"/>
      <c r="F11"/>
      <c r="G11"/>
      <c r="H11"/>
      <c r="I11"/>
      <c r="J11"/>
      <c r="K11"/>
      <c r="L11"/>
      <c r="M11"/>
      <c r="N11"/>
    </row>
    <row r="12" spans="1:14" s="81" customFormat="1" x14ac:dyDescent="0.2">
      <c r="A12"/>
      <c r="B12"/>
      <c r="C12"/>
      <c r="D12"/>
      <c r="E12"/>
      <c r="F12"/>
      <c r="G12"/>
      <c r="H12"/>
      <c r="I12"/>
      <c r="J12"/>
      <c r="K12"/>
      <c r="L12"/>
      <c r="M12"/>
      <c r="N12"/>
    </row>
    <row r="13" spans="1:14" s="81" customFormat="1" x14ac:dyDescent="0.2">
      <c r="A13"/>
      <c r="B13"/>
      <c r="C13"/>
      <c r="D13"/>
      <c r="E13"/>
      <c r="F13"/>
      <c r="G13"/>
      <c r="H13"/>
      <c r="I13"/>
      <c r="J13"/>
      <c r="K13"/>
      <c r="L13"/>
      <c r="M13"/>
      <c r="N13"/>
    </row>
    <row r="14" spans="1:14" s="81" customFormat="1" x14ac:dyDescent="0.2">
      <c r="A14"/>
      <c r="B14"/>
      <c r="C14"/>
      <c r="D14"/>
      <c r="E14"/>
      <c r="F14"/>
      <c r="G14"/>
      <c r="H14"/>
      <c r="I14"/>
      <c r="J14"/>
      <c r="K14"/>
      <c r="L14"/>
      <c r="M14"/>
      <c r="N14"/>
    </row>
    <row r="15" spans="1:14" s="81" customFormat="1" x14ac:dyDescent="0.2">
      <c r="A15"/>
      <c r="B15"/>
      <c r="C15"/>
      <c r="D15"/>
      <c r="E15"/>
      <c r="F15"/>
      <c r="G15"/>
      <c r="H15"/>
      <c r="I15"/>
      <c r="J15"/>
      <c r="K15"/>
      <c r="L15"/>
      <c r="M15"/>
      <c r="N15"/>
    </row>
    <row r="16" spans="1:14" s="81" customFormat="1" x14ac:dyDescent="0.2">
      <c r="A16"/>
      <c r="B16"/>
      <c r="C16"/>
      <c r="D16"/>
      <c r="E16"/>
      <c r="F16"/>
      <c r="G16"/>
      <c r="H16"/>
      <c r="I16"/>
      <c r="J16"/>
      <c r="K16"/>
      <c r="L16"/>
      <c r="M16"/>
      <c r="N16"/>
    </row>
    <row r="17" spans="1:14" s="81" customFormat="1" x14ac:dyDescent="0.2">
      <c r="A17"/>
      <c r="B17"/>
      <c r="C17"/>
      <c r="D17"/>
      <c r="E17"/>
      <c r="F17"/>
      <c r="G17"/>
      <c r="H17"/>
      <c r="I17"/>
      <c r="J17"/>
      <c r="K17"/>
      <c r="L17"/>
      <c r="M17"/>
      <c r="N17"/>
    </row>
    <row r="18" spans="1:14" s="81" customFormat="1" x14ac:dyDescent="0.2">
      <c r="A18"/>
      <c r="B18"/>
      <c r="C18"/>
      <c r="D18"/>
      <c r="E18"/>
      <c r="F18"/>
      <c r="G18"/>
      <c r="H18"/>
      <c r="I18"/>
      <c r="J18"/>
      <c r="K18"/>
      <c r="L18"/>
      <c r="M18"/>
      <c r="N18"/>
    </row>
    <row r="19" spans="1:14" s="81" customFormat="1" x14ac:dyDescent="0.2">
      <c r="A19"/>
      <c r="B19"/>
      <c r="C19"/>
      <c r="D19"/>
      <c r="E19"/>
      <c r="F19"/>
      <c r="G19"/>
      <c r="H19"/>
      <c r="I19"/>
      <c r="J19"/>
      <c r="K19"/>
      <c r="L19"/>
      <c r="M19"/>
      <c r="N19"/>
    </row>
    <row r="20" spans="1:14" s="81" customFormat="1" x14ac:dyDescent="0.2">
      <c r="A20"/>
      <c r="B20"/>
      <c r="C20"/>
      <c r="D20"/>
      <c r="E20"/>
      <c r="F20"/>
      <c r="G20"/>
      <c r="H20"/>
      <c r="I20"/>
      <c r="J20"/>
      <c r="K20"/>
      <c r="L20"/>
      <c r="M20"/>
      <c r="N20"/>
    </row>
    <row r="21" spans="1:14" s="81" customFormat="1" x14ac:dyDescent="0.2">
      <c r="A21"/>
      <c r="B21"/>
      <c r="C21"/>
      <c r="D21"/>
      <c r="E21"/>
      <c r="F21"/>
      <c r="G21"/>
      <c r="H21"/>
      <c r="I21"/>
      <c r="J21"/>
      <c r="K21"/>
      <c r="L21"/>
      <c r="M21"/>
      <c r="N21"/>
    </row>
    <row r="22" spans="1:14" s="81" customFormat="1" x14ac:dyDescent="0.2">
      <c r="A22"/>
      <c r="B22"/>
      <c r="C22"/>
      <c r="D22"/>
      <c r="E22"/>
      <c r="F22"/>
      <c r="G22"/>
      <c r="H22"/>
      <c r="I22"/>
      <c r="J22"/>
      <c r="K22"/>
      <c r="L22"/>
      <c r="M22"/>
      <c r="N22"/>
    </row>
    <row r="23" spans="1:14" s="81" customFormat="1" x14ac:dyDescent="0.2">
      <c r="A23"/>
      <c r="B23"/>
      <c r="C23"/>
      <c r="D23"/>
      <c r="E23"/>
      <c r="F23"/>
      <c r="G23"/>
      <c r="H23"/>
      <c r="I23"/>
      <c r="J23"/>
      <c r="K23"/>
      <c r="L23"/>
      <c r="M23"/>
      <c r="N23"/>
    </row>
    <row r="24" spans="1:14" s="81" customFormat="1" x14ac:dyDescent="0.2">
      <c r="A24"/>
      <c r="B24"/>
      <c r="C24"/>
      <c r="D24"/>
      <c r="E24"/>
      <c r="F24"/>
      <c r="G24"/>
      <c r="H24"/>
      <c r="I24"/>
      <c r="J24"/>
      <c r="K24"/>
      <c r="L24"/>
      <c r="M24"/>
      <c r="N24"/>
    </row>
    <row r="25" spans="1:14" s="81" customFormat="1" x14ac:dyDescent="0.2">
      <c r="A25"/>
      <c r="B25"/>
      <c r="C25"/>
      <c r="D25"/>
      <c r="E25"/>
      <c r="F25"/>
      <c r="G25"/>
      <c r="H25"/>
      <c r="I25"/>
      <c r="J25"/>
      <c r="K25"/>
      <c r="L25"/>
      <c r="M25"/>
      <c r="N25"/>
    </row>
    <row r="26" spans="1:14" s="81" customFormat="1" x14ac:dyDescent="0.2">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6" t="s">
        <v>803</v>
      </c>
      <c r="B1" s="147"/>
      <c r="C1" s="147"/>
      <c r="D1" s="147"/>
      <c r="E1" s="147"/>
      <c r="F1" s="147"/>
      <c r="G1" s="147"/>
      <c r="H1" s="147"/>
      <c r="I1" s="147"/>
      <c r="J1" s="147"/>
      <c r="K1" s="147"/>
      <c r="L1" s="147"/>
    </row>
    <row r="2" spans="1:12" ht="72.75" customHeight="1" x14ac:dyDescent="0.2">
      <c r="A2" s="27" t="s">
        <v>0</v>
      </c>
      <c r="B2" s="27" t="s">
        <v>6</v>
      </c>
      <c r="C2" s="26" t="s">
        <v>804</v>
      </c>
      <c r="D2" s="27" t="s">
        <v>152</v>
      </c>
      <c r="E2" s="27" t="s">
        <v>805</v>
      </c>
      <c r="F2" s="27" t="s">
        <v>806</v>
      </c>
      <c r="G2" s="27" t="s">
        <v>1128</v>
      </c>
      <c r="H2" s="27" t="s">
        <v>1129</v>
      </c>
      <c r="I2" s="27" t="s">
        <v>155</v>
      </c>
      <c r="J2" s="27" t="s">
        <v>156</v>
      </c>
      <c r="K2" s="27" t="s">
        <v>438</v>
      </c>
      <c r="L2" s="27" t="s">
        <v>1232</v>
      </c>
    </row>
    <row r="3" spans="1:12" ht="29.25" customHeight="1" x14ac:dyDescent="0.2">
      <c r="A3" s="33" t="s">
        <v>4</v>
      </c>
      <c r="B3" s="33"/>
      <c r="C3" s="33"/>
      <c r="D3" s="33"/>
      <c r="E3" s="33"/>
      <c r="F3" s="33"/>
      <c r="G3" s="33"/>
      <c r="H3" s="33"/>
      <c r="I3" s="33"/>
      <c r="J3" s="33"/>
      <c r="K3" s="33"/>
      <c r="L3" s="33"/>
    </row>
    <row r="4" spans="1:12" ht="16" x14ac:dyDescent="0.2">
      <c r="A4" s="54" t="s">
        <v>691</v>
      </c>
      <c r="B4" s="54" t="s">
        <v>347</v>
      </c>
      <c r="C4" s="54" t="s">
        <v>807</v>
      </c>
      <c r="D4" s="54" t="s">
        <v>808</v>
      </c>
      <c r="E4" s="54" t="s">
        <v>809</v>
      </c>
      <c r="F4" s="54" t="b">
        <v>0</v>
      </c>
      <c r="G4" s="54" t="s">
        <v>165</v>
      </c>
      <c r="H4" s="54"/>
      <c r="I4" s="54">
        <v>7003</v>
      </c>
      <c r="J4" s="54" t="s">
        <v>810</v>
      </c>
      <c r="K4" s="54">
        <v>10000</v>
      </c>
      <c r="L4" s="54" t="s">
        <v>1240</v>
      </c>
    </row>
    <row r="5" spans="1:12" ht="32" x14ac:dyDescent="0.2">
      <c r="A5" s="54" t="s">
        <v>691</v>
      </c>
      <c r="B5" s="54" t="s">
        <v>347</v>
      </c>
      <c r="C5" s="54" t="s">
        <v>811</v>
      </c>
      <c r="D5" s="54" t="s">
        <v>812</v>
      </c>
      <c r="E5" s="54" t="s">
        <v>813</v>
      </c>
      <c r="F5" s="54" t="b">
        <v>1</v>
      </c>
      <c r="G5" s="54" t="s">
        <v>814</v>
      </c>
      <c r="H5" s="54"/>
      <c r="I5" s="54">
        <v>10</v>
      </c>
      <c r="J5" s="54"/>
      <c r="K5" s="54">
        <v>10000</v>
      </c>
      <c r="L5" s="54" t="s">
        <v>1241</v>
      </c>
    </row>
    <row r="6" spans="1:12" ht="16" x14ac:dyDescent="0.2">
      <c r="A6" s="54"/>
      <c r="B6" s="54"/>
      <c r="C6" s="54"/>
      <c r="D6" s="54" t="s">
        <v>815</v>
      </c>
      <c r="E6" s="54" t="s">
        <v>816</v>
      </c>
      <c r="F6" s="54" t="b">
        <v>0</v>
      </c>
      <c r="G6" s="54" t="s">
        <v>1130</v>
      </c>
      <c r="H6" s="54" t="s">
        <v>1131</v>
      </c>
      <c r="I6" s="54">
        <v>53</v>
      </c>
      <c r="J6" s="54"/>
      <c r="K6" s="54">
        <v>20000</v>
      </c>
      <c r="L6" s="54" t="s">
        <v>1242</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42" t="s">
        <v>1587</v>
      </c>
      <c r="B1" s="142"/>
      <c r="C1" s="142"/>
      <c r="D1" s="142"/>
      <c r="E1" s="142"/>
      <c r="F1" s="142"/>
      <c r="G1" s="142"/>
      <c r="H1" s="142"/>
      <c r="I1" s="142"/>
      <c r="J1" s="142"/>
      <c r="K1" s="142"/>
      <c r="L1" s="142"/>
      <c r="M1" s="142"/>
      <c r="N1" s="142"/>
      <c r="O1" s="142"/>
      <c r="P1" s="142"/>
      <c r="Q1" s="142"/>
      <c r="R1" s="142"/>
      <c r="S1" s="142"/>
      <c r="T1" s="142"/>
    </row>
    <row r="2" spans="1:20" ht="53" customHeight="1" x14ac:dyDescent="0.2">
      <c r="A2" s="15" t="s">
        <v>0</v>
      </c>
      <c r="B2" s="15" t="s">
        <v>6</v>
      </c>
      <c r="C2" s="50" t="s">
        <v>845</v>
      </c>
      <c r="D2" s="50" t="s">
        <v>1588</v>
      </c>
      <c r="E2" s="15" t="s">
        <v>1207</v>
      </c>
      <c r="F2" s="15" t="s">
        <v>846</v>
      </c>
      <c r="G2" s="15" t="s">
        <v>310</v>
      </c>
      <c r="H2" s="49" t="s">
        <v>712</v>
      </c>
      <c r="I2" s="93" t="s">
        <v>311</v>
      </c>
      <c r="J2" s="15" t="s">
        <v>1589</v>
      </c>
      <c r="K2" s="15" t="s">
        <v>1590</v>
      </c>
      <c r="L2" s="15" t="s">
        <v>1591</v>
      </c>
      <c r="M2" s="15" t="s">
        <v>1592</v>
      </c>
      <c r="N2" s="15" t="s">
        <v>847</v>
      </c>
      <c r="O2" s="15" t="s">
        <v>400</v>
      </c>
      <c r="P2" s="50" t="s">
        <v>716</v>
      </c>
      <c r="Q2" s="49" t="s">
        <v>316</v>
      </c>
      <c r="R2" s="49" t="s">
        <v>317</v>
      </c>
      <c r="S2" s="49" t="s">
        <v>94</v>
      </c>
      <c r="T2" s="15" t="s">
        <v>417</v>
      </c>
    </row>
    <row r="3" spans="1:20" x14ac:dyDescent="0.2">
      <c r="A3" s="33" t="s">
        <v>4</v>
      </c>
      <c r="B3" s="33"/>
      <c r="C3" s="33"/>
      <c r="D3" s="33"/>
      <c r="E3" s="33"/>
      <c r="F3" s="33"/>
      <c r="G3" s="33"/>
      <c r="H3" s="33"/>
      <c r="I3" s="33"/>
      <c r="J3" s="33"/>
      <c r="K3" s="33"/>
      <c r="L3" s="33"/>
      <c r="M3" s="33"/>
      <c r="N3" s="33"/>
      <c r="O3" s="33"/>
      <c r="P3" s="33"/>
    </row>
    <row r="4" spans="1:20" ht="32" x14ac:dyDescent="0.2">
      <c r="A4" s="53" t="s">
        <v>313</v>
      </c>
      <c r="B4" s="53" t="s">
        <v>549</v>
      </c>
      <c r="C4" s="53" t="s">
        <v>848</v>
      </c>
      <c r="D4" s="53"/>
      <c r="E4" s="54" t="s">
        <v>1220</v>
      </c>
      <c r="F4" s="53"/>
      <c r="G4" s="53" t="s">
        <v>849</v>
      </c>
      <c r="H4" s="53" t="s">
        <v>409</v>
      </c>
      <c r="I4" s="89" t="s">
        <v>326</v>
      </c>
      <c r="J4" s="53" t="s">
        <v>1593</v>
      </c>
      <c r="K4" s="53"/>
      <c r="L4" s="53" t="b">
        <v>1</v>
      </c>
      <c r="M4" s="54" t="s">
        <v>1594</v>
      </c>
      <c r="N4" s="53" t="s">
        <v>315</v>
      </c>
      <c r="O4" s="54" t="s">
        <v>1595</v>
      </c>
      <c r="P4" s="53" t="s">
        <v>403</v>
      </c>
      <c r="Q4" s="53" t="s">
        <v>328</v>
      </c>
      <c r="R4" s="53" t="s">
        <v>329</v>
      </c>
      <c r="S4" s="53"/>
      <c r="T4" s="53"/>
    </row>
    <row r="5" spans="1:20" ht="77" customHeight="1" x14ac:dyDescent="0.2">
      <c r="A5" s="54" t="s">
        <v>313</v>
      </c>
      <c r="B5" s="53" t="s">
        <v>549</v>
      </c>
      <c r="C5" s="54" t="s">
        <v>1596</v>
      </c>
      <c r="D5" s="54" t="s">
        <v>1597</v>
      </c>
      <c r="E5" s="54" t="s">
        <v>1220</v>
      </c>
      <c r="F5" s="54"/>
      <c r="G5" s="54" t="s">
        <v>1598</v>
      </c>
      <c r="H5" s="54"/>
      <c r="I5" s="139" t="s">
        <v>1599</v>
      </c>
      <c r="J5" s="54" t="s">
        <v>1600</v>
      </c>
      <c r="K5" s="54" t="s">
        <v>1601</v>
      </c>
      <c r="L5" s="54" t="b">
        <v>1</v>
      </c>
      <c r="M5" s="54" t="s">
        <v>1602</v>
      </c>
      <c r="N5" s="54" t="s">
        <v>1603</v>
      </c>
      <c r="O5" s="54" t="s">
        <v>1595</v>
      </c>
      <c r="P5" s="54" t="s">
        <v>322</v>
      </c>
      <c r="Q5" s="54" t="s">
        <v>328</v>
      </c>
      <c r="R5" s="54" t="s">
        <v>329</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7" width="11.5" style="101"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x14ac:dyDescent="0.2">
      <c r="A1" s="146" t="s">
        <v>1203</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8"/>
    </row>
    <row r="2" spans="1:27" s="48" customFormat="1" ht="48" x14ac:dyDescent="0.2">
      <c r="A2" s="49" t="s">
        <v>0</v>
      </c>
      <c r="B2" s="49" t="s">
        <v>6</v>
      </c>
      <c r="C2" s="49" t="s">
        <v>81</v>
      </c>
      <c r="D2" s="15" t="s">
        <v>1207</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x14ac:dyDescent="0.2">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x14ac:dyDescent="0.2">
      <c r="A4" s="85" t="s">
        <v>313</v>
      </c>
      <c r="B4" s="85" t="s">
        <v>549</v>
      </c>
      <c r="C4" s="85" t="s">
        <v>55</v>
      </c>
      <c r="D4" s="54" t="s">
        <v>1220</v>
      </c>
      <c r="E4" s="89" t="s">
        <v>741</v>
      </c>
      <c r="F4" s="90" t="s">
        <v>331</v>
      </c>
      <c r="G4" s="90">
        <v>1</v>
      </c>
      <c r="H4" s="90"/>
      <c r="I4" s="92" t="s">
        <v>409</v>
      </c>
      <c r="J4" s="90">
        <v>256</v>
      </c>
      <c r="K4" s="90"/>
      <c r="L4" s="90" t="s">
        <v>321</v>
      </c>
      <c r="M4" s="90" t="s">
        <v>322</v>
      </c>
      <c r="N4" s="90" t="s">
        <v>742</v>
      </c>
      <c r="O4" s="90" t="s">
        <v>323</v>
      </c>
      <c r="P4" s="91" t="s">
        <v>405</v>
      </c>
      <c r="Q4" s="90" t="s">
        <v>325</v>
      </c>
      <c r="R4" s="90" t="s">
        <v>326</v>
      </c>
      <c r="S4" s="90" t="s">
        <v>327</v>
      </c>
      <c r="T4" s="90" t="b">
        <v>1</v>
      </c>
      <c r="U4" s="90" t="s">
        <v>100</v>
      </c>
      <c r="V4" s="84" t="s">
        <v>328</v>
      </c>
      <c r="W4" s="53" t="s">
        <v>329</v>
      </c>
      <c r="X4" s="53">
        <v>15</v>
      </c>
      <c r="Y4" s="53" t="s">
        <v>547</v>
      </c>
      <c r="Z4" s="53"/>
      <c r="AA4" s="53"/>
    </row>
    <row r="5" spans="1:27" ht="32" x14ac:dyDescent="0.2">
      <c r="A5" s="53" t="s">
        <v>313</v>
      </c>
      <c r="B5" s="85" t="s">
        <v>549</v>
      </c>
      <c r="C5" s="85" t="s">
        <v>87</v>
      </c>
      <c r="D5" s="54" t="s">
        <v>1221</v>
      </c>
      <c r="E5" s="99" t="s">
        <v>743</v>
      </c>
      <c r="F5" s="90" t="s">
        <v>334</v>
      </c>
      <c r="G5" s="90">
        <v>2</v>
      </c>
      <c r="H5" s="100">
        <v>4</v>
      </c>
      <c r="I5" s="90" t="s">
        <v>755</v>
      </c>
      <c r="J5" s="89">
        <v>256</v>
      </c>
      <c r="K5" s="90"/>
      <c r="L5" s="90" t="s">
        <v>321</v>
      </c>
      <c r="M5" s="90" t="s">
        <v>322</v>
      </c>
      <c r="N5" s="90" t="s">
        <v>744</v>
      </c>
      <c r="O5" s="90" t="s">
        <v>336</v>
      </c>
      <c r="P5" s="91" t="s">
        <v>405</v>
      </c>
      <c r="Q5" s="90" t="s">
        <v>325</v>
      </c>
      <c r="R5" s="90" t="s">
        <v>326</v>
      </c>
      <c r="S5" s="90" t="s">
        <v>327</v>
      </c>
      <c r="T5" s="90" t="b">
        <v>1</v>
      </c>
      <c r="U5" s="100" t="s">
        <v>100</v>
      </c>
      <c r="V5" s="53" t="s">
        <v>328</v>
      </c>
      <c r="W5" s="53" t="s">
        <v>329</v>
      </c>
      <c r="X5" s="53">
        <v>15</v>
      </c>
      <c r="Y5" s="53" t="s">
        <v>547</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6" t="s">
        <v>1019</v>
      </c>
      <c r="B1" s="147"/>
      <c r="C1" s="147"/>
      <c r="D1" s="147"/>
      <c r="E1" s="147"/>
      <c r="F1" s="147"/>
      <c r="G1" s="147"/>
      <c r="H1" s="147"/>
    </row>
    <row r="2" spans="1:8" ht="48" x14ac:dyDescent="0.2">
      <c r="A2" s="66" t="s">
        <v>0</v>
      </c>
      <c r="B2" s="66" t="s">
        <v>6</v>
      </c>
      <c r="C2" s="50" t="s">
        <v>729</v>
      </c>
      <c r="D2" s="66" t="s">
        <v>81</v>
      </c>
      <c r="E2" s="66" t="s">
        <v>82</v>
      </c>
      <c r="F2" s="66" t="s">
        <v>730</v>
      </c>
      <c r="G2" s="66" t="s">
        <v>731</v>
      </c>
      <c r="H2" s="69" t="s">
        <v>417</v>
      </c>
    </row>
    <row r="3" spans="1:8" x14ac:dyDescent="0.2">
      <c r="A3" s="73" t="s">
        <v>4</v>
      </c>
      <c r="B3" s="73"/>
      <c r="C3" s="33"/>
      <c r="D3" s="73"/>
      <c r="E3" s="73"/>
      <c r="F3" s="33"/>
      <c r="G3" s="33"/>
      <c r="H3" s="33"/>
    </row>
    <row r="4" spans="1:8" x14ac:dyDescent="0.2">
      <c r="A4" s="53" t="s">
        <v>313</v>
      </c>
      <c r="B4" s="53" t="s">
        <v>549</v>
      </c>
      <c r="C4" s="90" t="s">
        <v>406</v>
      </c>
      <c r="D4" s="53" t="s">
        <v>55</v>
      </c>
      <c r="E4" s="90" t="s">
        <v>913</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01"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101" bestFit="1" customWidth="1"/>
    <col min="11" max="11" width="20.83203125" customWidth="1"/>
    <col min="12" max="12" width="17.83203125" customWidth="1"/>
    <col min="13" max="13" width="21" customWidth="1"/>
    <col min="14" max="14" width="23.5" customWidth="1"/>
    <col min="15" max="15" width="18.83203125" style="101"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7" t="s">
        <v>1204</v>
      </c>
      <c r="B1" s="158"/>
      <c r="C1" s="158"/>
      <c r="D1" s="158"/>
      <c r="E1" s="158"/>
      <c r="F1" s="158"/>
      <c r="G1" s="158"/>
      <c r="H1" s="158"/>
      <c r="I1" s="158"/>
      <c r="J1" s="158"/>
      <c r="K1" s="158"/>
      <c r="L1" s="158"/>
      <c r="M1" s="158"/>
      <c r="N1" s="158"/>
      <c r="O1" s="158"/>
      <c r="P1" s="158"/>
      <c r="Q1" s="158"/>
      <c r="R1" s="158"/>
      <c r="S1" s="158"/>
      <c r="T1" s="158"/>
      <c r="U1" s="158"/>
      <c r="V1" s="71"/>
      <c r="W1" s="71"/>
      <c r="X1" s="71"/>
      <c r="Y1" s="71"/>
      <c r="Z1" s="71"/>
      <c r="AA1" s="71"/>
      <c r="AB1" s="71"/>
    </row>
    <row r="2" spans="1:28" s="70" customFormat="1" ht="48" x14ac:dyDescent="0.2">
      <c r="A2" s="66" t="s">
        <v>0</v>
      </c>
      <c r="B2" s="66" t="s">
        <v>6</v>
      </c>
      <c r="C2" s="50" t="s">
        <v>729</v>
      </c>
      <c r="D2" s="50" t="s">
        <v>732</v>
      </c>
      <c r="E2" s="66" t="s">
        <v>1222</v>
      </c>
      <c r="F2" s="66" t="s">
        <v>1223</v>
      </c>
      <c r="G2" s="66" t="s">
        <v>711</v>
      </c>
      <c r="H2" s="50" t="s">
        <v>716</v>
      </c>
      <c r="I2" s="66" t="s">
        <v>399</v>
      </c>
      <c r="J2" s="66" t="s">
        <v>733</v>
      </c>
      <c r="K2" s="66" t="s">
        <v>1053</v>
      </c>
      <c r="L2" s="66" t="s">
        <v>1054</v>
      </c>
      <c r="M2" s="66" t="s">
        <v>1055</v>
      </c>
      <c r="N2" s="66" t="s">
        <v>1056</v>
      </c>
      <c r="O2" s="66" t="s">
        <v>734</v>
      </c>
      <c r="P2" s="66" t="s">
        <v>735</v>
      </c>
      <c r="Q2" s="66" t="s">
        <v>92</v>
      </c>
      <c r="R2" s="66" t="s">
        <v>546</v>
      </c>
      <c r="S2" s="75" t="s">
        <v>94</v>
      </c>
      <c r="T2" s="75" t="s">
        <v>783</v>
      </c>
      <c r="U2" s="72" t="s">
        <v>417</v>
      </c>
      <c r="V2"/>
      <c r="W2"/>
      <c r="X2"/>
      <c r="Y2"/>
      <c r="Z2"/>
      <c r="AA2"/>
      <c r="AB2"/>
    </row>
    <row r="3" spans="1:28" ht="14.5" customHeight="1" x14ac:dyDescent="0.2">
      <c r="A3" s="74" t="s">
        <v>4</v>
      </c>
      <c r="B3" s="33"/>
      <c r="C3" s="102"/>
      <c r="E3" s="32"/>
      <c r="F3" s="32"/>
      <c r="G3" s="33"/>
      <c r="H3" s="33"/>
      <c r="I3" s="43"/>
      <c r="J3" s="43"/>
      <c r="K3" s="43"/>
      <c r="L3" s="43"/>
      <c r="M3" s="43"/>
      <c r="N3" s="43"/>
      <c r="O3" s="43"/>
      <c r="P3" s="52"/>
      <c r="Q3" s="43"/>
      <c r="R3" s="46"/>
      <c r="S3" s="76"/>
      <c r="T3" s="33"/>
      <c r="U3" s="33"/>
    </row>
    <row r="4" spans="1:28" ht="36" customHeight="1" x14ac:dyDescent="0.2">
      <c r="A4" s="85" t="s">
        <v>313</v>
      </c>
      <c r="B4" s="85" t="s">
        <v>549</v>
      </c>
      <c r="C4" s="90" t="s">
        <v>406</v>
      </c>
      <c r="D4" s="53" t="s">
        <v>753</v>
      </c>
      <c r="E4" s="54" t="s">
        <v>1220</v>
      </c>
      <c r="F4" s="54" t="s">
        <v>1220</v>
      </c>
      <c r="G4" s="53">
        <v>4</v>
      </c>
      <c r="H4" s="53" t="s">
        <v>322</v>
      </c>
      <c r="I4" s="90" t="s">
        <v>754</v>
      </c>
      <c r="J4" s="90" t="s">
        <v>405</v>
      </c>
      <c r="K4" s="90">
        <v>914</v>
      </c>
      <c r="L4" s="90">
        <v>1390</v>
      </c>
      <c r="M4" s="90">
        <v>96</v>
      </c>
      <c r="N4" s="90" t="s">
        <v>1057</v>
      </c>
      <c r="O4" s="90" t="b">
        <v>1</v>
      </c>
      <c r="P4" s="88" t="b">
        <v>1</v>
      </c>
      <c r="Q4" s="90" t="s">
        <v>100</v>
      </c>
      <c r="R4" s="88" t="s">
        <v>547</v>
      </c>
      <c r="S4" s="53"/>
      <c r="T4" s="53"/>
      <c r="U4" s="54" t="s">
        <v>426</v>
      </c>
    </row>
    <row r="11" spans="1:28" ht="16" x14ac:dyDescent="0.2">
      <c r="E11" s="1" t="s">
        <v>914</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x14ac:dyDescent="0.2">
      <c r="A1" s="165" t="s">
        <v>1526</v>
      </c>
      <c r="B1" s="166"/>
      <c r="C1" s="166"/>
      <c r="D1" s="166"/>
      <c r="E1" s="166"/>
      <c r="F1" s="166"/>
      <c r="G1" s="166"/>
      <c r="H1" s="166"/>
      <c r="I1" s="166"/>
      <c r="J1" s="166"/>
      <c r="K1" s="166"/>
      <c r="L1" s="166"/>
      <c r="M1" s="166"/>
      <c r="N1" s="166"/>
      <c r="O1" s="166"/>
      <c r="P1" s="166"/>
      <c r="Q1" s="166"/>
      <c r="R1" s="167"/>
      <c r="S1" s="12"/>
    </row>
    <row r="2" spans="1:19" s="48" customFormat="1" ht="72.75" customHeight="1" x14ac:dyDescent="0.2">
      <c r="A2" s="34" t="s">
        <v>0</v>
      </c>
      <c r="B2" s="34" t="s">
        <v>6</v>
      </c>
      <c r="C2" s="34" t="s">
        <v>958</v>
      </c>
      <c r="D2" s="34" t="s">
        <v>1081</v>
      </c>
      <c r="E2" s="123" t="s">
        <v>959</v>
      </c>
      <c r="F2" s="123" t="s">
        <v>960</v>
      </c>
      <c r="G2" s="34" t="s">
        <v>961</v>
      </c>
      <c r="H2" s="123" t="s">
        <v>962</v>
      </c>
      <c r="I2" s="34" t="s">
        <v>963</v>
      </c>
      <c r="J2" s="34" t="s">
        <v>964</v>
      </c>
      <c r="K2" s="34" t="s">
        <v>965</v>
      </c>
      <c r="L2" s="124" t="s">
        <v>1051</v>
      </c>
      <c r="M2" s="125" t="s">
        <v>1052</v>
      </c>
      <c r="N2" s="34" t="s">
        <v>966</v>
      </c>
      <c r="O2" s="34" t="s">
        <v>967</v>
      </c>
      <c r="P2" s="34" t="s">
        <v>968</v>
      </c>
      <c r="Q2" s="34" t="s">
        <v>92</v>
      </c>
      <c r="R2" s="34" t="s">
        <v>417</v>
      </c>
    </row>
    <row r="3" spans="1:19" s="30" customFormat="1" ht="16" x14ac:dyDescent="0.2">
      <c r="A3" s="32" t="s">
        <v>5</v>
      </c>
      <c r="B3" s="32" t="s">
        <v>548</v>
      </c>
      <c r="C3" s="32" t="s">
        <v>1132</v>
      </c>
      <c r="D3" s="32" t="s">
        <v>1133</v>
      </c>
      <c r="E3" s="32" t="s">
        <v>1134</v>
      </c>
      <c r="F3" s="32" t="s">
        <v>1135</v>
      </c>
      <c r="G3" s="32" t="s">
        <v>1136</v>
      </c>
      <c r="H3" s="32" t="s">
        <v>1137</v>
      </c>
      <c r="I3" s="32" t="s">
        <v>55</v>
      </c>
      <c r="J3" s="32" t="s">
        <v>1138</v>
      </c>
      <c r="K3" s="32">
        <v>16</v>
      </c>
      <c r="L3" t="s">
        <v>1139</v>
      </c>
      <c r="M3" t="s">
        <v>1140</v>
      </c>
      <c r="N3" s="32">
        <v>3</v>
      </c>
      <c r="O3" s="32" t="s">
        <v>1141</v>
      </c>
      <c r="P3" s="32" t="b">
        <v>0</v>
      </c>
      <c r="Q3" s="32" t="s">
        <v>1142</v>
      </c>
      <c r="R3" s="28"/>
    </row>
    <row r="4" spans="1:19" s="30" customFormat="1" ht="16" x14ac:dyDescent="0.2">
      <c r="A4" s="32" t="s">
        <v>5</v>
      </c>
      <c r="B4" s="32" t="s">
        <v>548</v>
      </c>
      <c r="C4" s="32" t="s">
        <v>1143</v>
      </c>
      <c r="D4" s="32" t="s">
        <v>1144</v>
      </c>
      <c r="E4" s="32"/>
      <c r="F4" s="32"/>
      <c r="G4" s="32" t="s">
        <v>1136</v>
      </c>
      <c r="H4" s="32" t="s">
        <v>1137</v>
      </c>
      <c r="I4" s="32" t="s">
        <v>55</v>
      </c>
      <c r="J4" s="32" t="s">
        <v>334</v>
      </c>
      <c r="K4" s="32">
        <v>52</v>
      </c>
      <c r="L4" s="32"/>
      <c r="M4" s="32"/>
      <c r="N4" s="32">
        <v>3</v>
      </c>
      <c r="O4" s="32" t="s">
        <v>1145</v>
      </c>
      <c r="P4" s="32" t="b">
        <v>0</v>
      </c>
      <c r="Q4" s="32"/>
      <c r="R4" s="28"/>
    </row>
    <row r="5" spans="1:19" ht="16" x14ac:dyDescent="0.2">
      <c r="A5" s="98"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7" t="s">
        <v>1205</v>
      </c>
      <c r="B1" s="166"/>
      <c r="C1" s="166"/>
      <c r="D1" s="166"/>
      <c r="E1" s="166"/>
      <c r="F1" s="166"/>
      <c r="G1" s="166"/>
      <c r="H1" s="166"/>
      <c r="I1" s="166"/>
      <c r="J1" s="166"/>
      <c r="K1" s="166"/>
      <c r="L1" s="166"/>
      <c r="M1" s="166"/>
      <c r="N1" s="166"/>
    </row>
    <row r="2" spans="1:15" s="40" customFormat="1" ht="16" x14ac:dyDescent="0.2">
      <c r="A2" s="35" t="s">
        <v>0</v>
      </c>
      <c r="B2" s="35" t="s">
        <v>958</v>
      </c>
      <c r="C2" s="123" t="s">
        <v>1207</v>
      </c>
      <c r="D2" s="34" t="s">
        <v>969</v>
      </c>
      <c r="E2" s="34" t="s">
        <v>970</v>
      </c>
      <c r="F2" s="34" t="s">
        <v>971</v>
      </c>
      <c r="G2" s="34" t="s">
        <v>972</v>
      </c>
      <c r="H2" s="34" t="s">
        <v>973</v>
      </c>
      <c r="I2" s="34" t="s">
        <v>974</v>
      </c>
      <c r="J2" s="34" t="s">
        <v>975</v>
      </c>
      <c r="K2" s="34" t="s">
        <v>976</v>
      </c>
      <c r="L2" s="34" t="s">
        <v>977</v>
      </c>
      <c r="M2" s="34" t="s">
        <v>978</v>
      </c>
      <c r="N2" s="34" t="s">
        <v>979</v>
      </c>
      <c r="O2" s="48"/>
    </row>
    <row r="3" spans="1:15" s="30" customFormat="1" ht="32" x14ac:dyDescent="0.2">
      <c r="A3" s="55" t="s">
        <v>5</v>
      </c>
      <c r="B3" s="32" t="s">
        <v>1132</v>
      </c>
      <c r="C3" s="32" t="s">
        <v>1224</v>
      </c>
      <c r="D3" s="32" t="s">
        <v>1146</v>
      </c>
      <c r="E3" s="32" t="s">
        <v>1147</v>
      </c>
      <c r="F3" s="32" t="s">
        <v>1148</v>
      </c>
      <c r="G3" s="32" t="s">
        <v>1149</v>
      </c>
      <c r="H3" s="32" t="s">
        <v>1150</v>
      </c>
      <c r="I3" s="32" t="s">
        <v>1151</v>
      </c>
      <c r="J3" s="32" t="s">
        <v>1152</v>
      </c>
      <c r="K3" s="32" t="s">
        <v>1153</v>
      </c>
      <c r="L3" s="32" t="s">
        <v>1154</v>
      </c>
      <c r="M3" s="32" t="s">
        <v>1155</v>
      </c>
      <c r="N3" s="32" t="s">
        <v>1156</v>
      </c>
      <c r="O3" s="126"/>
    </row>
    <row r="4" spans="1:15" s="30" customFormat="1" ht="32" x14ac:dyDescent="0.2">
      <c r="A4" s="32" t="s">
        <v>5</v>
      </c>
      <c r="B4" s="76" t="s">
        <v>1143</v>
      </c>
      <c r="C4" s="32" t="s">
        <v>1224</v>
      </c>
      <c r="D4" s="32" t="s">
        <v>1146</v>
      </c>
      <c r="E4" s="32"/>
      <c r="F4" s="32" t="s">
        <v>1148</v>
      </c>
      <c r="G4" s="32" t="s">
        <v>1149</v>
      </c>
      <c r="H4" s="32" t="s">
        <v>1150</v>
      </c>
      <c r="I4" s="32" t="s">
        <v>1151</v>
      </c>
      <c r="J4" s="32" t="s">
        <v>1152</v>
      </c>
      <c r="K4" s="32" t="s">
        <v>1153</v>
      </c>
      <c r="L4" s="32" t="s">
        <v>1154</v>
      </c>
      <c r="M4" s="32" t="s">
        <v>1155</v>
      </c>
      <c r="N4" s="32" t="s">
        <v>1157</v>
      </c>
      <c r="O4" s="126"/>
    </row>
    <row r="5" spans="1:15" ht="16" x14ac:dyDescent="0.2">
      <c r="A5" s="1" t="s">
        <v>4</v>
      </c>
      <c r="B5" s="127"/>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x14ac:dyDescent="0.2">
      <c r="A1" s="168" t="s">
        <v>1017</v>
      </c>
      <c r="B1" s="169"/>
      <c r="C1" s="169"/>
      <c r="D1" s="169"/>
      <c r="E1" s="169"/>
      <c r="F1" s="169"/>
      <c r="G1" s="169"/>
      <c r="H1" s="169"/>
      <c r="I1" s="169"/>
      <c r="J1" s="169"/>
      <c r="K1" s="169"/>
      <c r="L1" s="169"/>
      <c r="M1" s="169"/>
      <c r="N1" s="169"/>
      <c r="O1" s="169"/>
      <c r="P1" s="169"/>
      <c r="Q1" s="169"/>
      <c r="R1" s="170"/>
    </row>
    <row r="2" spans="1:18" ht="48" x14ac:dyDescent="0.2">
      <c r="A2" s="26" t="s">
        <v>0</v>
      </c>
      <c r="B2" s="27" t="s">
        <v>6</v>
      </c>
      <c r="C2" s="26" t="s">
        <v>980</v>
      </c>
      <c r="D2" s="26" t="s">
        <v>981</v>
      </c>
      <c r="E2" s="26" t="s">
        <v>982</v>
      </c>
      <c r="F2" s="26" t="s">
        <v>983</v>
      </c>
      <c r="G2" s="26" t="s">
        <v>984</v>
      </c>
      <c r="H2" s="26" t="s">
        <v>985</v>
      </c>
      <c r="I2" s="26" t="s">
        <v>986</v>
      </c>
      <c r="J2" s="26" t="s">
        <v>987</v>
      </c>
      <c r="K2" s="27" t="s">
        <v>988</v>
      </c>
      <c r="L2" s="26" t="s">
        <v>989</v>
      </c>
      <c r="M2" s="27" t="s">
        <v>990</v>
      </c>
      <c r="N2" s="27" t="s">
        <v>991</v>
      </c>
      <c r="O2" s="27" t="s">
        <v>992</v>
      </c>
      <c r="P2" s="27" t="s">
        <v>993</v>
      </c>
      <c r="Q2" s="27" t="s">
        <v>994</v>
      </c>
      <c r="R2" s="26" t="s">
        <v>417</v>
      </c>
    </row>
    <row r="3" spans="1:18" x14ac:dyDescent="0.2">
      <c r="A3" s="33" t="s">
        <v>4</v>
      </c>
    </row>
    <row r="4" spans="1:18" ht="29.25" customHeight="1" x14ac:dyDescent="0.2">
      <c r="A4" s="33" t="s">
        <v>5</v>
      </c>
      <c r="B4" s="33" t="s">
        <v>548</v>
      </c>
      <c r="C4" s="33" t="s">
        <v>995</v>
      </c>
      <c r="D4" s="33" t="s">
        <v>996</v>
      </c>
      <c r="E4" s="33" t="s">
        <v>997</v>
      </c>
      <c r="F4" s="33" t="s">
        <v>997</v>
      </c>
      <c r="G4" s="33" t="s">
        <v>998</v>
      </c>
      <c r="H4" s="33" t="s">
        <v>999</v>
      </c>
      <c r="I4" s="29" t="s">
        <v>1045</v>
      </c>
      <c r="J4" s="28" t="s">
        <v>1000</v>
      </c>
      <c r="K4" s="28" t="s">
        <v>1001</v>
      </c>
      <c r="L4" s="28" t="s">
        <v>1002</v>
      </c>
      <c r="M4" s="28" t="b">
        <v>1</v>
      </c>
      <c r="N4" s="29" t="s">
        <v>1003</v>
      </c>
      <c r="O4" s="28" t="s">
        <v>1004</v>
      </c>
      <c r="P4" s="28"/>
      <c r="Q4" s="28"/>
    </row>
    <row r="5" spans="1:18" ht="29.25" customHeight="1" x14ac:dyDescent="0.2">
      <c r="A5" s="33" t="s">
        <v>5</v>
      </c>
      <c r="B5" s="33" t="s">
        <v>548</v>
      </c>
      <c r="C5" s="33" t="s">
        <v>995</v>
      </c>
      <c r="D5" s="33" t="s">
        <v>996</v>
      </c>
      <c r="E5" s="33" t="s">
        <v>997</v>
      </c>
      <c r="F5" s="33" t="s">
        <v>997</v>
      </c>
      <c r="G5" s="33" t="s">
        <v>998</v>
      </c>
      <c r="H5" s="33" t="s">
        <v>999</v>
      </c>
      <c r="I5" s="29" t="s">
        <v>1045</v>
      </c>
      <c r="J5" s="28" t="s">
        <v>1018</v>
      </c>
      <c r="K5" s="28" t="s">
        <v>1005</v>
      </c>
      <c r="L5" s="28" t="s">
        <v>1006</v>
      </c>
      <c r="M5" s="28" t="b">
        <v>1</v>
      </c>
      <c r="N5" s="29" t="s">
        <v>1007</v>
      </c>
      <c r="O5" s="28"/>
      <c r="P5" s="28"/>
      <c r="Q5" s="28"/>
    </row>
    <row r="6" spans="1:18" x14ac:dyDescent="0.2">
      <c r="A6" s="33" t="s">
        <v>313</v>
      </c>
      <c r="B6" s="33" t="s">
        <v>548</v>
      </c>
      <c r="C6" s="33" t="s">
        <v>1008</v>
      </c>
      <c r="D6" s="33" t="s">
        <v>996</v>
      </c>
      <c r="E6" s="33" t="s">
        <v>997</v>
      </c>
      <c r="F6" s="33" t="s">
        <v>997</v>
      </c>
      <c r="G6" s="33" t="s">
        <v>998</v>
      </c>
      <c r="H6" s="33" t="s">
        <v>999</v>
      </c>
      <c r="I6" s="29"/>
      <c r="J6" s="28"/>
      <c r="K6" s="28"/>
      <c r="L6" s="28"/>
      <c r="M6" s="28"/>
      <c r="N6" s="29"/>
      <c r="O6" s="28"/>
      <c r="P6" s="28"/>
      <c r="Q6" s="28"/>
    </row>
    <row r="7" spans="1:18" ht="16" x14ac:dyDescent="0.2">
      <c r="A7" s="33" t="s">
        <v>313</v>
      </c>
      <c r="B7" s="33" t="s">
        <v>548</v>
      </c>
      <c r="C7" s="33" t="s">
        <v>1041</v>
      </c>
      <c r="D7" s="33" t="s">
        <v>996</v>
      </c>
      <c r="E7" s="33" t="s">
        <v>997</v>
      </c>
      <c r="F7" s="33" t="s">
        <v>997</v>
      </c>
      <c r="G7" s="33" t="s">
        <v>998</v>
      </c>
      <c r="H7" s="33" t="s">
        <v>999</v>
      </c>
      <c r="I7" s="29" t="s">
        <v>1042</v>
      </c>
      <c r="J7" s="28"/>
      <c r="K7" s="28" t="s">
        <v>1001</v>
      </c>
      <c r="L7" s="28" t="s">
        <v>1043</v>
      </c>
      <c r="M7" s="28" t="b">
        <v>1</v>
      </c>
      <c r="N7" s="29" t="s">
        <v>1044</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x14ac:dyDescent="0.2">
      <c r="A1" s="142" t="s">
        <v>1529</v>
      </c>
      <c r="B1" s="142"/>
      <c r="C1" s="142"/>
      <c r="D1" s="142"/>
      <c r="E1" s="142"/>
      <c r="F1" s="142"/>
      <c r="G1" s="142"/>
      <c r="H1" s="153" t="s">
        <v>1159</v>
      </c>
      <c r="I1" s="142"/>
      <c r="J1" s="142"/>
      <c r="K1" s="142"/>
      <c r="L1" s="142"/>
      <c r="M1" s="142"/>
      <c r="N1" s="142"/>
      <c r="O1" s="142"/>
    </row>
    <row r="2" spans="1:15" ht="44" customHeight="1" x14ac:dyDescent="0.2">
      <c r="A2" s="15" t="s">
        <v>0</v>
      </c>
      <c r="B2" s="15" t="s">
        <v>1160</v>
      </c>
      <c r="C2" s="128" t="s">
        <v>1161</v>
      </c>
      <c r="D2" s="15" t="s">
        <v>1162</v>
      </c>
      <c r="E2" s="15" t="s">
        <v>1163</v>
      </c>
      <c r="F2" s="15" t="s">
        <v>1165</v>
      </c>
      <c r="G2" s="49" t="s">
        <v>1166</v>
      </c>
      <c r="H2" s="93" t="s">
        <v>1167</v>
      </c>
      <c r="I2" s="15" t="s">
        <v>1168</v>
      </c>
      <c r="J2" s="129" t="s">
        <v>1169</v>
      </c>
      <c r="K2" s="15" t="s">
        <v>1170</v>
      </c>
      <c r="L2" s="15" t="s">
        <v>1171</v>
      </c>
      <c r="M2" s="130" t="s">
        <v>1172</v>
      </c>
      <c r="N2" s="15" t="s">
        <v>1164</v>
      </c>
      <c r="O2" s="15" t="s">
        <v>1173</v>
      </c>
    </row>
    <row r="3" spans="1:15" ht="16" x14ac:dyDescent="0.2">
      <c r="A3" s="32" t="s">
        <v>4</v>
      </c>
      <c r="B3" s="32"/>
      <c r="C3" s="32"/>
      <c r="D3" s="32"/>
      <c r="E3" s="32"/>
      <c r="F3" s="32"/>
      <c r="G3" s="32"/>
      <c r="H3" s="32"/>
      <c r="I3" s="32"/>
      <c r="J3" s="131"/>
      <c r="K3" s="32"/>
      <c r="L3" s="32"/>
      <c r="M3" s="131"/>
      <c r="N3" s="32"/>
      <c r="O3" s="32"/>
    </row>
    <row r="4" spans="1:15" ht="16" x14ac:dyDescent="0.2">
      <c r="A4" s="32" t="s">
        <v>313</v>
      </c>
      <c r="B4" s="32" t="s">
        <v>550</v>
      </c>
      <c r="C4" s="32" t="s">
        <v>1174</v>
      </c>
      <c r="D4" s="32" t="s">
        <v>1175</v>
      </c>
      <c r="E4" s="32"/>
      <c r="F4" s="32" t="s">
        <v>550</v>
      </c>
      <c r="G4" s="32" t="s">
        <v>1176</v>
      </c>
      <c r="H4" s="32" t="s">
        <v>1177</v>
      </c>
      <c r="I4" s="32" t="s">
        <v>1178</v>
      </c>
      <c r="J4" s="131">
        <v>256</v>
      </c>
      <c r="K4" s="32"/>
      <c r="L4" s="32"/>
      <c r="M4" s="131"/>
      <c r="N4" s="32"/>
      <c r="O4" s="32"/>
    </row>
    <row r="5" spans="1:15" ht="16" x14ac:dyDescent="0.2">
      <c r="A5" s="32"/>
      <c r="B5" s="32"/>
      <c r="C5" s="32"/>
      <c r="D5" s="32"/>
      <c r="E5" s="32"/>
      <c r="F5" s="32" t="s">
        <v>548</v>
      </c>
      <c r="G5" s="32" t="s">
        <v>1179</v>
      </c>
      <c r="H5" s="32" t="s">
        <v>1180</v>
      </c>
      <c r="I5" s="32" t="s">
        <v>1181</v>
      </c>
      <c r="J5" s="131">
        <v>384</v>
      </c>
      <c r="K5" s="32" t="s">
        <v>1182</v>
      </c>
      <c r="L5" s="32"/>
      <c r="M5" s="131"/>
      <c r="N5" s="32"/>
      <c r="O5" s="32"/>
    </row>
    <row r="6" spans="1:15" ht="16" x14ac:dyDescent="0.2">
      <c r="A6" s="32" t="s">
        <v>313</v>
      </c>
      <c r="B6" s="32" t="s">
        <v>550</v>
      </c>
      <c r="C6" s="32" t="s">
        <v>1183</v>
      </c>
      <c r="D6" s="32" t="s">
        <v>1184</v>
      </c>
      <c r="E6" s="32" t="s">
        <v>5</v>
      </c>
      <c r="F6" s="32" t="s">
        <v>550</v>
      </c>
      <c r="G6" s="32" t="s">
        <v>1176</v>
      </c>
      <c r="H6" s="32" t="s">
        <v>1180</v>
      </c>
      <c r="I6" s="32" t="s">
        <v>1178</v>
      </c>
      <c r="J6" s="131">
        <v>128</v>
      </c>
      <c r="K6" s="32"/>
      <c r="L6" s="32" t="b">
        <v>1</v>
      </c>
      <c r="M6" s="131">
        <v>100</v>
      </c>
      <c r="N6" s="32"/>
      <c r="O6" s="32"/>
    </row>
    <row r="7" spans="1:15" ht="16" x14ac:dyDescent="0.2">
      <c r="A7" s="32"/>
      <c r="B7" s="32"/>
      <c r="C7" s="32"/>
      <c r="D7" s="32"/>
      <c r="E7" s="32"/>
      <c r="F7" s="32" t="s">
        <v>548</v>
      </c>
      <c r="G7" s="32" t="s">
        <v>1179</v>
      </c>
      <c r="H7" s="32" t="s">
        <v>1180</v>
      </c>
      <c r="I7" s="32" t="s">
        <v>1185</v>
      </c>
      <c r="J7" s="131">
        <v>3072</v>
      </c>
      <c r="K7" s="32"/>
      <c r="L7" s="32"/>
      <c r="M7" s="131"/>
      <c r="N7" s="32"/>
      <c r="O7" s="32"/>
    </row>
    <row r="8" spans="1:15" ht="16" x14ac:dyDescent="0.2">
      <c r="A8" s="32"/>
      <c r="B8" s="32"/>
      <c r="C8" s="32"/>
      <c r="D8" s="32"/>
      <c r="E8" s="32"/>
      <c r="F8" s="32" t="s">
        <v>549</v>
      </c>
      <c r="G8" s="32" t="s">
        <v>1186</v>
      </c>
      <c r="H8" s="32" t="s">
        <v>1177</v>
      </c>
      <c r="I8" s="32" t="s">
        <v>1181</v>
      </c>
      <c r="J8" s="131">
        <v>521</v>
      </c>
      <c r="K8" s="32" t="s">
        <v>1187</v>
      </c>
      <c r="L8" s="32" t="b">
        <v>1</v>
      </c>
      <c r="M8" s="131">
        <v>365</v>
      </c>
      <c r="N8" s="32"/>
      <c r="O8" s="32"/>
    </row>
    <row r="9" spans="1:15" x14ac:dyDescent="0.2">
      <c r="A9" s="32"/>
      <c r="B9" s="32"/>
      <c r="C9" s="32"/>
      <c r="D9" s="32"/>
      <c r="E9" s="32"/>
      <c r="F9" s="32"/>
      <c r="G9" s="32"/>
      <c r="H9" s="32"/>
      <c r="I9" s="32"/>
      <c r="J9" s="131"/>
      <c r="K9" s="32"/>
      <c r="L9" s="32"/>
      <c r="M9" s="131"/>
      <c r="N9" s="32"/>
      <c r="O9" s="32"/>
    </row>
    <row r="10" spans="1:15" x14ac:dyDescent="0.2">
      <c r="A10" s="32"/>
      <c r="B10" s="32"/>
      <c r="C10" s="32"/>
      <c r="D10" s="32"/>
      <c r="E10" s="32"/>
      <c r="F10" s="32"/>
      <c r="G10" s="32"/>
      <c r="H10" s="32"/>
      <c r="I10" s="32"/>
      <c r="J10" s="131"/>
      <c r="K10" s="32"/>
      <c r="L10" s="32"/>
      <c r="M10" s="131"/>
      <c r="N10" s="32"/>
      <c r="O10" s="32"/>
    </row>
    <row r="11" spans="1:15" x14ac:dyDescent="0.2">
      <c r="A11" s="32"/>
      <c r="B11" s="32"/>
      <c r="C11" s="32"/>
      <c r="D11" s="32"/>
      <c r="E11" s="32"/>
      <c r="F11" s="32"/>
      <c r="G11" s="32"/>
      <c r="H11" s="32"/>
      <c r="I11" s="32"/>
      <c r="J11" s="131"/>
      <c r="K11" s="32"/>
      <c r="L11" s="32"/>
      <c r="M11" s="131"/>
      <c r="N11" s="32"/>
      <c r="O11" s="32"/>
    </row>
    <row r="12" spans="1:15" x14ac:dyDescent="0.2">
      <c r="A12" s="32"/>
      <c r="B12" s="32"/>
      <c r="C12" s="32"/>
      <c r="D12" s="32"/>
      <c r="E12" s="32"/>
      <c r="F12" s="32"/>
      <c r="G12" s="32"/>
      <c r="H12" s="32"/>
      <c r="I12" s="32"/>
      <c r="J12" s="131"/>
      <c r="K12" s="32"/>
      <c r="L12" s="32"/>
      <c r="M12" s="131"/>
      <c r="N12" s="32"/>
      <c r="O12" s="32"/>
    </row>
    <row r="13" spans="1:15" x14ac:dyDescent="0.2">
      <c r="A13" s="32"/>
      <c r="B13" s="32"/>
      <c r="C13" s="32"/>
      <c r="D13" s="32"/>
      <c r="E13" s="32"/>
      <c r="F13" s="32"/>
      <c r="G13" s="32"/>
      <c r="H13" s="32"/>
      <c r="I13" s="32"/>
      <c r="J13" s="131"/>
      <c r="K13" s="32"/>
      <c r="L13" s="32"/>
      <c r="M13" s="131"/>
      <c r="N13" s="32"/>
      <c r="O13" s="32"/>
    </row>
    <row r="14" spans="1:15" x14ac:dyDescent="0.2">
      <c r="A14" s="32"/>
      <c r="B14" s="32"/>
      <c r="C14" s="32"/>
      <c r="D14" s="32"/>
      <c r="E14" s="32"/>
      <c r="F14" s="32"/>
      <c r="G14" s="32"/>
      <c r="H14" s="32"/>
      <c r="I14" s="32"/>
      <c r="J14" s="131"/>
      <c r="K14" s="32"/>
      <c r="L14" s="32"/>
      <c r="M14" s="131"/>
      <c r="N14" s="32"/>
      <c r="O14" s="32"/>
    </row>
    <row r="15" spans="1:15" x14ac:dyDescent="0.2">
      <c r="A15" s="32"/>
      <c r="B15" s="32"/>
      <c r="C15" s="32"/>
      <c r="D15" s="32"/>
      <c r="E15" s="32"/>
      <c r="F15" s="32"/>
      <c r="G15" s="32"/>
      <c r="H15" s="32"/>
      <c r="I15" s="32"/>
      <c r="J15" s="131"/>
      <c r="K15" s="32"/>
      <c r="L15" s="32"/>
      <c r="M15" s="131"/>
      <c r="N15" s="32"/>
      <c r="O15" s="32"/>
    </row>
    <row r="16" spans="1:15" x14ac:dyDescent="0.2">
      <c r="A16" s="32"/>
      <c r="B16" s="32"/>
      <c r="C16" s="32"/>
      <c r="D16" s="32"/>
      <c r="E16" s="32"/>
      <c r="F16" s="32"/>
      <c r="G16" s="32"/>
      <c r="H16" s="32"/>
      <c r="I16" s="32"/>
      <c r="J16" s="131"/>
      <c r="K16" s="32"/>
      <c r="L16" s="32"/>
      <c r="M16" s="131"/>
      <c r="N16" s="32"/>
      <c r="O16" s="32"/>
    </row>
    <row r="17" spans="1:15" x14ac:dyDescent="0.2">
      <c r="A17" s="32"/>
      <c r="B17" s="32"/>
      <c r="C17" s="32"/>
      <c r="D17" s="32"/>
      <c r="E17" s="32"/>
      <c r="F17" s="32"/>
      <c r="G17" s="32"/>
      <c r="H17" s="32"/>
      <c r="I17" s="32"/>
      <c r="J17" s="131"/>
      <c r="K17" s="32"/>
      <c r="L17" s="32"/>
      <c r="M17" s="131"/>
      <c r="N17" s="32"/>
      <c r="O17" s="32"/>
    </row>
    <row r="18" spans="1:15" x14ac:dyDescent="0.2">
      <c r="A18" s="32"/>
      <c r="B18" s="32"/>
      <c r="C18" s="32"/>
      <c r="D18" s="32"/>
      <c r="E18" s="32"/>
      <c r="F18" s="32"/>
      <c r="G18" s="32"/>
      <c r="H18" s="32"/>
      <c r="I18" s="32"/>
      <c r="J18" s="131"/>
      <c r="K18" s="32"/>
      <c r="L18" s="32"/>
      <c r="M18" s="131"/>
      <c r="N18" s="32"/>
      <c r="O18" s="32"/>
    </row>
    <row r="19" spans="1:15" x14ac:dyDescent="0.2">
      <c r="A19" s="32"/>
      <c r="B19" s="32"/>
      <c r="C19" s="32"/>
      <c r="D19" s="32"/>
      <c r="E19" s="32"/>
      <c r="F19" s="32"/>
      <c r="G19" s="32"/>
      <c r="H19" s="32"/>
      <c r="I19" s="32"/>
      <c r="J19" s="131"/>
      <c r="K19" s="32"/>
      <c r="L19" s="32"/>
      <c r="M19" s="131"/>
      <c r="N19" s="32"/>
      <c r="O19" s="32"/>
    </row>
    <row r="20" spans="1:15" x14ac:dyDescent="0.2">
      <c r="A20" s="32"/>
      <c r="B20" s="32"/>
      <c r="C20" s="32"/>
      <c r="D20" s="32"/>
      <c r="E20" s="32"/>
      <c r="F20" s="32"/>
      <c r="G20" s="32"/>
      <c r="H20" s="32"/>
      <c r="I20" s="32"/>
      <c r="J20" s="131"/>
      <c r="K20" s="32"/>
      <c r="L20" s="32"/>
      <c r="M20" s="131"/>
      <c r="N20" s="32"/>
      <c r="O20" s="32"/>
    </row>
    <row r="21" spans="1:15" x14ac:dyDescent="0.2">
      <c r="A21" s="32"/>
      <c r="B21" s="32"/>
      <c r="C21" s="32"/>
      <c r="D21" s="32"/>
      <c r="E21" s="32"/>
      <c r="F21" s="32"/>
      <c r="G21" s="32"/>
      <c r="H21" s="32"/>
      <c r="I21" s="32"/>
      <c r="J21" s="131"/>
      <c r="K21" s="32"/>
      <c r="L21" s="32"/>
      <c r="M21" s="131"/>
      <c r="N21" s="32"/>
      <c r="O21" s="32"/>
    </row>
    <row r="22" spans="1:15" x14ac:dyDescent="0.2">
      <c r="A22" s="32"/>
      <c r="B22" s="32"/>
      <c r="C22" s="32"/>
      <c r="D22" s="32"/>
      <c r="E22" s="32"/>
      <c r="F22" s="32"/>
      <c r="G22" s="32"/>
      <c r="H22" s="32"/>
      <c r="I22" s="32"/>
      <c r="J22" s="131"/>
      <c r="K22" s="32"/>
      <c r="L22" s="32"/>
      <c r="M22" s="131"/>
      <c r="N22" s="32"/>
      <c r="O22" s="32"/>
    </row>
    <row r="23" spans="1:15" x14ac:dyDescent="0.2">
      <c r="A23" s="32"/>
      <c r="B23" s="32"/>
      <c r="C23" s="32"/>
      <c r="D23" s="32"/>
      <c r="E23" s="32"/>
      <c r="F23" s="32"/>
      <c r="G23" s="32"/>
      <c r="H23" s="32"/>
      <c r="I23" s="32"/>
      <c r="J23" s="131"/>
      <c r="K23" s="32"/>
      <c r="L23" s="32"/>
      <c r="M23" s="131"/>
      <c r="N23" s="32"/>
      <c r="O23" s="32"/>
    </row>
    <row r="24" spans="1:15" x14ac:dyDescent="0.2">
      <c r="A24" s="32"/>
      <c r="B24" s="32"/>
      <c r="C24" s="32"/>
      <c r="D24" s="32"/>
      <c r="E24" s="32"/>
      <c r="F24" s="32"/>
      <c r="G24" s="32"/>
      <c r="H24" s="32"/>
      <c r="I24" s="32"/>
      <c r="J24" s="131"/>
      <c r="K24" s="32"/>
      <c r="L24" s="32"/>
      <c r="M24" s="131"/>
      <c r="N24" s="32"/>
      <c r="O24" s="32"/>
    </row>
    <row r="25" spans="1:15" x14ac:dyDescent="0.2">
      <c r="A25" s="32"/>
      <c r="B25" s="32"/>
      <c r="C25" s="32"/>
      <c r="D25" s="32"/>
      <c r="E25" s="32"/>
      <c r="F25" s="32"/>
      <c r="G25" s="32"/>
      <c r="H25" s="32"/>
      <c r="I25" s="32"/>
      <c r="J25" s="131"/>
      <c r="K25" s="32"/>
      <c r="L25" s="32"/>
      <c r="M25" s="131"/>
      <c r="N25" s="32"/>
      <c r="O25" s="32"/>
    </row>
    <row r="26" spans="1:15" x14ac:dyDescent="0.2">
      <c r="A26" s="32"/>
      <c r="B26" s="32"/>
      <c r="C26" s="32"/>
      <c r="D26" s="32"/>
      <c r="E26" s="32"/>
      <c r="F26" s="32"/>
      <c r="G26" s="32"/>
      <c r="H26" s="32"/>
      <c r="I26" s="32"/>
      <c r="J26" s="131"/>
      <c r="K26" s="32"/>
      <c r="L26" s="32"/>
      <c r="M26" s="131"/>
      <c r="N26" s="32"/>
      <c r="O26" s="32"/>
    </row>
    <row r="27" spans="1:15" x14ac:dyDescent="0.2">
      <c r="A27" s="32"/>
      <c r="B27" s="32"/>
      <c r="C27" s="32"/>
      <c r="D27" s="32"/>
      <c r="E27" s="32"/>
      <c r="F27" s="32"/>
      <c r="G27" s="32"/>
      <c r="H27" s="32"/>
      <c r="I27" s="32"/>
      <c r="J27" s="131"/>
      <c r="K27" s="32"/>
      <c r="L27" s="32"/>
      <c r="M27" s="131"/>
      <c r="N27" s="32"/>
      <c r="O27" s="32"/>
    </row>
    <row r="28" spans="1:15" x14ac:dyDescent="0.2">
      <c r="A28" s="32"/>
      <c r="B28" s="32"/>
      <c r="C28" s="32"/>
      <c r="D28" s="32"/>
      <c r="E28" s="32"/>
      <c r="F28" s="32"/>
      <c r="G28" s="32"/>
      <c r="H28" s="32"/>
      <c r="I28" s="32"/>
      <c r="J28" s="131"/>
      <c r="K28" s="32"/>
      <c r="L28" s="32"/>
      <c r="M28" s="131"/>
      <c r="N28" s="32"/>
      <c r="O28" s="32"/>
    </row>
    <row r="29" spans="1:15" x14ac:dyDescent="0.2">
      <c r="A29" s="32"/>
      <c r="B29" s="32"/>
      <c r="C29" s="32"/>
      <c r="D29" s="32"/>
      <c r="E29" s="32"/>
      <c r="F29" s="32"/>
      <c r="G29" s="32"/>
      <c r="H29" s="32"/>
      <c r="I29" s="32"/>
      <c r="J29" s="131"/>
      <c r="K29" s="32"/>
      <c r="L29" s="32"/>
      <c r="M29" s="131"/>
      <c r="N29" s="32"/>
      <c r="O29" s="32"/>
    </row>
    <row r="30" spans="1:15" x14ac:dyDescent="0.2">
      <c r="A30" s="32"/>
      <c r="B30" s="32"/>
      <c r="C30" s="32"/>
      <c r="D30" s="32"/>
      <c r="E30" s="32"/>
      <c r="F30" s="32"/>
      <c r="G30" s="32"/>
      <c r="H30" s="32"/>
      <c r="I30" s="32"/>
      <c r="J30" s="131"/>
      <c r="K30" s="32"/>
      <c r="L30" s="32"/>
      <c r="M30" s="131"/>
      <c r="N30" s="32"/>
      <c r="O30" s="32"/>
    </row>
    <row r="31" spans="1:15" x14ac:dyDescent="0.2">
      <c r="A31" s="32"/>
      <c r="B31" s="32"/>
      <c r="C31" s="32"/>
      <c r="D31" s="32"/>
      <c r="E31" s="32"/>
      <c r="F31" s="32"/>
      <c r="G31" s="32"/>
      <c r="H31" s="32"/>
      <c r="I31" s="32"/>
      <c r="J31" s="131"/>
      <c r="K31" s="32"/>
      <c r="L31" s="32"/>
      <c r="M31" s="131"/>
      <c r="N31" s="32"/>
      <c r="O31" s="32"/>
    </row>
    <row r="32" spans="1:15" x14ac:dyDescent="0.2">
      <c r="A32" s="32"/>
      <c r="B32" s="32"/>
      <c r="C32" s="32"/>
      <c r="D32" s="32"/>
      <c r="E32" s="32"/>
      <c r="F32" s="32"/>
      <c r="G32" s="32"/>
      <c r="H32" s="32"/>
      <c r="I32" s="32"/>
      <c r="J32" s="131"/>
      <c r="K32" s="32"/>
      <c r="L32" s="32"/>
      <c r="M32" s="131"/>
      <c r="N32" s="32"/>
      <c r="O32" s="32"/>
    </row>
    <row r="33" spans="1:15" x14ac:dyDescent="0.2">
      <c r="A33" s="32"/>
      <c r="B33" s="32"/>
      <c r="C33" s="32"/>
      <c r="D33" s="32"/>
      <c r="E33" s="32"/>
      <c r="F33" s="32"/>
      <c r="G33" s="32"/>
      <c r="H33" s="32"/>
      <c r="I33" s="32"/>
      <c r="J33" s="131"/>
      <c r="K33" s="32"/>
      <c r="L33" s="32"/>
      <c r="M33" s="131"/>
      <c r="N33" s="32"/>
      <c r="O33" s="32"/>
    </row>
    <row r="34" spans="1:15" x14ac:dyDescent="0.2">
      <c r="A34" s="32"/>
      <c r="B34" s="32"/>
      <c r="C34" s="32"/>
      <c r="D34" s="32"/>
      <c r="E34" s="32"/>
      <c r="F34" s="32"/>
      <c r="G34" s="32"/>
      <c r="H34" s="32"/>
      <c r="I34" s="32"/>
      <c r="J34" s="131"/>
      <c r="K34" s="32"/>
      <c r="L34" s="32"/>
      <c r="M34" s="131"/>
      <c r="N34" s="32"/>
      <c r="O34" s="32"/>
    </row>
    <row r="35" spans="1:15" x14ac:dyDescent="0.2">
      <c r="A35" s="32"/>
      <c r="B35" s="32"/>
      <c r="C35" s="32"/>
      <c r="D35" s="32"/>
      <c r="E35" s="32"/>
      <c r="F35" s="32"/>
      <c r="G35" s="32"/>
      <c r="H35" s="32"/>
      <c r="I35" s="32"/>
      <c r="J35" s="131"/>
      <c r="K35" s="32"/>
      <c r="L35" s="32"/>
      <c r="M35" s="131"/>
      <c r="N35" s="32"/>
      <c r="O35" s="32"/>
    </row>
    <row r="36" spans="1:15" x14ac:dyDescent="0.2">
      <c r="A36" s="32"/>
      <c r="B36" s="32"/>
      <c r="C36" s="32"/>
      <c r="D36" s="32"/>
      <c r="E36" s="32"/>
      <c r="F36" s="32"/>
      <c r="G36" s="32"/>
      <c r="H36" s="32"/>
      <c r="I36" s="32"/>
      <c r="J36" s="131"/>
      <c r="K36" s="32"/>
      <c r="L36" s="32"/>
      <c r="M36" s="131"/>
      <c r="N36" s="32"/>
      <c r="O36" s="32"/>
    </row>
    <row r="37" spans="1:15" x14ac:dyDescent="0.2">
      <c r="A37" s="32"/>
      <c r="B37" s="32"/>
      <c r="C37" s="32"/>
      <c r="D37" s="32"/>
      <c r="E37" s="32"/>
      <c r="F37" s="32"/>
      <c r="G37" s="32"/>
      <c r="H37" s="32"/>
      <c r="I37" s="32"/>
      <c r="J37" s="131"/>
      <c r="K37" s="32"/>
      <c r="L37" s="32"/>
      <c r="M37" s="131"/>
      <c r="N37" s="32"/>
      <c r="O37" s="32"/>
    </row>
    <row r="38" spans="1:15" x14ac:dyDescent="0.2">
      <c r="A38" s="32"/>
      <c r="B38" s="32"/>
      <c r="C38" s="32"/>
      <c r="D38" s="32"/>
      <c r="E38" s="32"/>
      <c r="F38" s="32"/>
      <c r="G38" s="32"/>
      <c r="H38" s="32"/>
      <c r="I38" s="32"/>
      <c r="J38" s="131"/>
      <c r="K38" s="32"/>
      <c r="L38" s="32"/>
      <c r="M38" s="131"/>
      <c r="N38" s="32"/>
      <c r="O38" s="32"/>
    </row>
    <row r="39" spans="1:15" x14ac:dyDescent="0.2">
      <c r="A39" s="32"/>
      <c r="B39" s="32"/>
      <c r="C39" s="32"/>
      <c r="D39" s="32"/>
      <c r="E39" s="32"/>
      <c r="F39" s="32"/>
      <c r="G39" s="32"/>
      <c r="H39" s="32"/>
      <c r="I39" s="32"/>
      <c r="J39" s="131"/>
      <c r="K39" s="32"/>
      <c r="L39" s="32"/>
      <c r="M39" s="131"/>
      <c r="N39" s="32"/>
      <c r="O39" s="32"/>
    </row>
    <row r="40" spans="1:15" x14ac:dyDescent="0.2">
      <c r="A40" s="32"/>
      <c r="B40" s="32"/>
      <c r="C40" s="32"/>
      <c r="D40" s="32"/>
      <c r="E40" s="32"/>
      <c r="F40" s="32"/>
      <c r="G40" s="32"/>
      <c r="H40" s="32"/>
      <c r="I40" s="32"/>
      <c r="J40" s="131"/>
      <c r="K40" s="32"/>
      <c r="L40" s="32"/>
      <c r="M40" s="131"/>
      <c r="N40" s="32"/>
      <c r="O40" s="32"/>
    </row>
    <row r="41" spans="1:15" x14ac:dyDescent="0.2">
      <c r="A41" s="32"/>
      <c r="B41" s="32"/>
      <c r="C41" s="32"/>
      <c r="D41" s="32"/>
      <c r="E41" s="32"/>
      <c r="F41" s="32"/>
      <c r="G41" s="32"/>
      <c r="H41" s="32"/>
      <c r="I41" s="32"/>
      <c r="J41" s="131"/>
      <c r="K41" s="32"/>
      <c r="L41" s="32"/>
      <c r="M41" s="131"/>
      <c r="N41" s="32"/>
      <c r="O41" s="32"/>
    </row>
    <row r="42" spans="1:15" x14ac:dyDescent="0.2">
      <c r="A42" s="32"/>
      <c r="B42" s="32"/>
      <c r="C42" s="32"/>
      <c r="D42" s="32"/>
      <c r="E42" s="32"/>
      <c r="F42" s="32"/>
      <c r="G42" s="32"/>
      <c r="H42" s="32"/>
      <c r="I42" s="32"/>
      <c r="J42" s="131"/>
      <c r="K42" s="32"/>
      <c r="L42" s="32"/>
      <c r="M42" s="131"/>
      <c r="N42" s="32"/>
      <c r="O42" s="32"/>
    </row>
    <row r="43" spans="1:15" x14ac:dyDescent="0.2">
      <c r="A43" s="32"/>
      <c r="B43" s="32"/>
      <c r="C43" s="32"/>
      <c r="D43" s="32"/>
      <c r="E43" s="32"/>
      <c r="F43" s="32"/>
      <c r="G43" s="32"/>
      <c r="H43" s="32"/>
      <c r="I43" s="32"/>
      <c r="J43" s="131"/>
      <c r="K43" s="32"/>
      <c r="L43" s="32"/>
      <c r="M43" s="131"/>
      <c r="N43" s="32"/>
      <c r="O43" s="32"/>
    </row>
    <row r="44" spans="1:15" x14ac:dyDescent="0.2">
      <c r="A44" s="32"/>
      <c r="B44" s="32"/>
      <c r="C44" s="32"/>
      <c r="D44" s="32"/>
      <c r="E44" s="32"/>
      <c r="F44" s="32"/>
      <c r="G44" s="32"/>
      <c r="H44" s="32"/>
      <c r="I44" s="32"/>
      <c r="J44" s="131"/>
      <c r="K44" s="32"/>
      <c r="L44" s="32"/>
      <c r="M44" s="131"/>
      <c r="N44" s="32"/>
      <c r="O44" s="32"/>
    </row>
    <row r="45" spans="1:15" x14ac:dyDescent="0.2">
      <c r="A45" s="32"/>
      <c r="B45" s="32"/>
      <c r="C45" s="32"/>
      <c r="D45" s="32"/>
      <c r="E45" s="32"/>
      <c r="F45" s="32"/>
      <c r="G45" s="32"/>
      <c r="H45" s="32"/>
      <c r="I45" s="32"/>
      <c r="J45" s="131"/>
      <c r="K45" s="32"/>
      <c r="L45" s="32"/>
      <c r="M45" s="131"/>
      <c r="N45" s="32"/>
      <c r="O45" s="32"/>
    </row>
    <row r="46" spans="1:15" x14ac:dyDescent="0.2">
      <c r="A46" s="32"/>
      <c r="B46" s="32"/>
      <c r="C46" s="32"/>
      <c r="D46" s="32"/>
      <c r="E46" s="32"/>
      <c r="F46" s="32"/>
      <c r="G46" s="32"/>
      <c r="H46" s="32"/>
      <c r="I46" s="32"/>
      <c r="J46" s="131"/>
      <c r="K46" s="32"/>
      <c r="L46" s="32"/>
      <c r="M46" s="131"/>
      <c r="N46" s="32"/>
      <c r="O46" s="32"/>
    </row>
    <row r="47" spans="1:15" x14ac:dyDescent="0.2">
      <c r="A47" s="32"/>
      <c r="B47" s="32"/>
      <c r="C47" s="32"/>
      <c r="D47" s="32"/>
      <c r="E47" s="32"/>
      <c r="F47" s="32"/>
      <c r="G47" s="32"/>
      <c r="H47" s="32"/>
      <c r="I47" s="32"/>
      <c r="J47" s="131"/>
      <c r="K47" s="32"/>
      <c r="L47" s="32"/>
      <c r="M47" s="131"/>
      <c r="N47" s="32"/>
      <c r="O47" s="32"/>
    </row>
    <row r="48" spans="1:15" x14ac:dyDescent="0.2">
      <c r="A48" s="32"/>
      <c r="B48" s="32"/>
      <c r="C48" s="32"/>
      <c r="D48" s="32"/>
      <c r="E48" s="32"/>
      <c r="F48" s="32"/>
      <c r="G48" s="32"/>
      <c r="H48" s="32"/>
      <c r="I48" s="32"/>
      <c r="J48" s="131"/>
      <c r="K48" s="32"/>
      <c r="L48" s="32"/>
      <c r="M48" s="131"/>
      <c r="N48" s="32"/>
      <c r="O48" s="32"/>
    </row>
    <row r="49" spans="1:15" x14ac:dyDescent="0.2">
      <c r="A49" s="32"/>
      <c r="B49" s="32"/>
      <c r="C49" s="32"/>
      <c r="D49" s="32"/>
      <c r="E49" s="32"/>
      <c r="F49" s="32"/>
      <c r="G49" s="32"/>
      <c r="H49" s="32"/>
      <c r="I49" s="32"/>
      <c r="J49" s="131"/>
      <c r="K49" s="32"/>
      <c r="L49" s="32"/>
      <c r="M49" s="131"/>
      <c r="N49" s="32"/>
      <c r="O49" s="32"/>
    </row>
    <row r="50" spans="1:15" x14ac:dyDescent="0.2">
      <c r="A50" s="32"/>
      <c r="B50" s="32"/>
      <c r="C50" s="32"/>
      <c r="D50" s="32"/>
      <c r="E50" s="32"/>
      <c r="F50" s="32"/>
      <c r="G50" s="32"/>
      <c r="H50" s="32"/>
      <c r="I50" s="32"/>
      <c r="J50" s="131"/>
      <c r="K50" s="32"/>
      <c r="L50" s="32"/>
      <c r="M50" s="131"/>
      <c r="N50" s="32"/>
      <c r="O50" s="32"/>
    </row>
    <row r="51" spans="1:15" x14ac:dyDescent="0.2">
      <c r="A51" s="32"/>
      <c r="B51" s="32"/>
      <c r="C51" s="32"/>
      <c r="D51" s="32"/>
      <c r="E51" s="32"/>
      <c r="F51" s="32"/>
      <c r="G51" s="32"/>
      <c r="H51" s="32"/>
      <c r="I51" s="32"/>
      <c r="J51" s="131"/>
      <c r="K51" s="32"/>
      <c r="L51" s="32"/>
      <c r="M51" s="131"/>
      <c r="N51" s="32"/>
      <c r="O51" s="32"/>
    </row>
    <row r="52" spans="1:15" x14ac:dyDescent="0.2">
      <c r="A52" s="32"/>
      <c r="B52" s="32"/>
      <c r="C52" s="32"/>
      <c r="D52" s="32"/>
      <c r="E52" s="32"/>
      <c r="F52" s="32"/>
      <c r="G52" s="32"/>
      <c r="H52" s="32"/>
      <c r="I52" s="32"/>
      <c r="J52" s="131"/>
      <c r="K52" s="32"/>
      <c r="L52" s="32"/>
      <c r="M52" s="131"/>
      <c r="N52" s="32"/>
      <c r="O52" s="32"/>
    </row>
    <row r="53" spans="1:15" x14ac:dyDescent="0.2">
      <c r="A53" s="32"/>
      <c r="B53" s="32"/>
      <c r="C53" s="32"/>
      <c r="D53" s="32"/>
      <c r="E53" s="32"/>
      <c r="F53" s="32"/>
      <c r="G53" s="32"/>
      <c r="H53" s="32"/>
      <c r="I53" s="32"/>
      <c r="J53" s="131"/>
      <c r="K53" s="32"/>
      <c r="L53" s="32"/>
      <c r="M53" s="131"/>
      <c r="N53" s="32"/>
      <c r="O53" s="32"/>
    </row>
    <row r="54" spans="1:15" x14ac:dyDescent="0.2">
      <c r="A54" s="32"/>
      <c r="B54" s="32"/>
      <c r="C54" s="32"/>
      <c r="D54" s="32"/>
      <c r="E54" s="32"/>
      <c r="F54" s="32"/>
      <c r="G54" s="32"/>
      <c r="H54" s="32"/>
      <c r="I54" s="32"/>
      <c r="J54" s="131"/>
      <c r="K54" s="32"/>
      <c r="L54" s="32"/>
      <c r="M54" s="131"/>
      <c r="N54" s="32"/>
      <c r="O54" s="32"/>
    </row>
    <row r="55" spans="1:15" x14ac:dyDescent="0.2">
      <c r="A55" s="32"/>
      <c r="B55" s="32"/>
      <c r="C55" s="32"/>
      <c r="D55" s="32"/>
      <c r="E55" s="32"/>
      <c r="F55" s="32"/>
      <c r="G55" s="32"/>
      <c r="H55" s="32"/>
      <c r="I55" s="32"/>
      <c r="J55" s="131"/>
      <c r="K55" s="32"/>
      <c r="L55" s="32"/>
      <c r="M55" s="131"/>
      <c r="N55" s="32"/>
      <c r="O55" s="32"/>
    </row>
    <row r="56" spans="1:15" x14ac:dyDescent="0.2">
      <c r="A56" s="32"/>
      <c r="B56" s="32"/>
      <c r="C56" s="32"/>
      <c r="D56" s="32"/>
      <c r="E56" s="32"/>
      <c r="F56" s="32"/>
      <c r="G56" s="32"/>
      <c r="H56" s="32"/>
      <c r="I56" s="32"/>
      <c r="J56" s="131"/>
      <c r="K56" s="32"/>
      <c r="L56" s="32"/>
      <c r="M56" s="131"/>
      <c r="N56" s="32"/>
      <c r="O56" s="32"/>
    </row>
    <row r="57" spans="1:15" x14ac:dyDescent="0.2">
      <c r="A57" s="32"/>
      <c r="B57" s="32"/>
      <c r="C57" s="32"/>
      <c r="D57" s="32"/>
      <c r="E57" s="32"/>
      <c r="F57" s="32"/>
      <c r="G57" s="32"/>
      <c r="H57" s="32"/>
      <c r="I57" s="32"/>
      <c r="J57" s="131"/>
      <c r="K57" s="32"/>
      <c r="L57" s="32"/>
      <c r="M57" s="131"/>
      <c r="N57" s="32"/>
      <c r="O57" s="32"/>
    </row>
    <row r="58" spans="1:15" x14ac:dyDescent="0.2">
      <c r="A58" s="32"/>
      <c r="B58" s="32"/>
      <c r="C58" s="32"/>
      <c r="D58" s="32"/>
      <c r="E58" s="32"/>
      <c r="F58" s="32"/>
      <c r="G58" s="32"/>
      <c r="H58" s="32"/>
      <c r="I58" s="32"/>
      <c r="J58" s="131"/>
      <c r="K58" s="32"/>
      <c r="L58" s="32"/>
      <c r="M58" s="131"/>
      <c r="N58" s="32"/>
      <c r="O58" s="32"/>
    </row>
    <row r="59" spans="1:15" x14ac:dyDescent="0.2">
      <c r="A59" s="32"/>
      <c r="B59" s="32"/>
      <c r="C59" s="32"/>
      <c r="D59" s="32"/>
      <c r="E59" s="32"/>
      <c r="F59" s="32"/>
      <c r="G59" s="32"/>
      <c r="H59" s="32"/>
      <c r="I59" s="32"/>
      <c r="J59" s="131"/>
      <c r="K59" s="32"/>
      <c r="L59" s="32"/>
      <c r="M59" s="131"/>
      <c r="N59" s="32"/>
      <c r="O59" s="32"/>
    </row>
    <row r="60" spans="1:15" x14ac:dyDescent="0.2">
      <c r="A60" s="32"/>
      <c r="B60" s="32"/>
      <c r="C60" s="32"/>
      <c r="D60" s="32"/>
      <c r="E60" s="32"/>
      <c r="F60" s="32"/>
      <c r="G60" s="32"/>
      <c r="H60" s="32"/>
      <c r="I60" s="32"/>
      <c r="J60" s="131"/>
      <c r="K60" s="32"/>
      <c r="L60" s="32"/>
      <c r="M60" s="131"/>
      <c r="N60" s="32"/>
      <c r="O60" s="32"/>
    </row>
    <row r="61" spans="1:15" x14ac:dyDescent="0.2">
      <c r="A61" s="32"/>
      <c r="B61" s="32"/>
      <c r="C61" s="32"/>
      <c r="D61" s="32"/>
      <c r="E61" s="32"/>
      <c r="F61" s="32"/>
      <c r="G61" s="32"/>
      <c r="H61" s="32"/>
      <c r="I61" s="32"/>
      <c r="J61" s="131"/>
      <c r="K61" s="32"/>
      <c r="L61" s="32"/>
      <c r="M61" s="131"/>
      <c r="N61" s="32"/>
      <c r="O61" s="32"/>
    </row>
    <row r="62" spans="1:15" x14ac:dyDescent="0.2">
      <c r="A62" s="32"/>
      <c r="B62" s="32"/>
      <c r="C62" s="32"/>
      <c r="D62" s="32"/>
      <c r="E62" s="32"/>
      <c r="F62" s="32"/>
      <c r="G62" s="32"/>
      <c r="H62" s="32"/>
      <c r="I62" s="32"/>
      <c r="J62" s="131"/>
      <c r="K62" s="32"/>
      <c r="L62" s="32"/>
      <c r="M62" s="131"/>
      <c r="N62" s="32"/>
      <c r="O62" s="32"/>
    </row>
    <row r="63" spans="1:15" x14ac:dyDescent="0.2">
      <c r="A63" s="32"/>
      <c r="B63" s="32"/>
      <c r="C63" s="32"/>
      <c r="D63" s="32"/>
      <c r="E63" s="32"/>
      <c r="F63" s="32"/>
      <c r="G63" s="32"/>
      <c r="H63" s="32"/>
      <c r="I63" s="32"/>
      <c r="J63" s="131"/>
      <c r="K63" s="32"/>
      <c r="L63" s="32"/>
      <c r="M63" s="131"/>
      <c r="N63" s="32"/>
      <c r="O63" s="32"/>
    </row>
    <row r="64" spans="1:15" x14ac:dyDescent="0.2">
      <c r="A64" s="32"/>
      <c r="B64" s="32"/>
      <c r="C64" s="32"/>
      <c r="D64" s="32"/>
      <c r="E64" s="32"/>
      <c r="F64" s="32"/>
      <c r="G64" s="32"/>
      <c r="H64" s="32"/>
      <c r="I64" s="32"/>
      <c r="J64" s="131"/>
      <c r="K64" s="32"/>
      <c r="L64" s="32"/>
      <c r="M64" s="131"/>
      <c r="N64" s="32"/>
      <c r="O64" s="32"/>
    </row>
    <row r="65" spans="1:15" x14ac:dyDescent="0.2">
      <c r="A65" s="32"/>
      <c r="B65" s="32"/>
      <c r="C65" s="32"/>
      <c r="D65" s="32"/>
      <c r="E65" s="32"/>
      <c r="F65" s="32"/>
      <c r="G65" s="32"/>
      <c r="H65" s="32"/>
      <c r="I65" s="32"/>
      <c r="J65" s="131"/>
      <c r="K65" s="32"/>
      <c r="L65" s="32"/>
      <c r="M65" s="131"/>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71" t="s">
        <v>1531</v>
      </c>
      <c r="B1" s="166"/>
      <c r="C1" s="166"/>
      <c r="D1" s="166"/>
      <c r="E1" s="166"/>
      <c r="F1" s="166"/>
      <c r="G1" s="166"/>
      <c r="H1" s="167"/>
      <c r="I1" s="157" t="s">
        <v>1532</v>
      </c>
      <c r="J1" s="158"/>
      <c r="K1" s="158"/>
      <c r="L1" s="158"/>
      <c r="M1" s="158"/>
      <c r="N1" s="158"/>
      <c r="O1" s="158"/>
      <c r="P1" s="158"/>
      <c r="Q1" s="158"/>
      <c r="R1" s="158"/>
      <c r="S1" s="158"/>
      <c r="T1" s="158"/>
      <c r="U1" s="158"/>
      <c r="V1" s="158"/>
      <c r="W1" s="158"/>
      <c r="X1" s="158"/>
      <c r="Y1" s="158"/>
      <c r="Z1" s="158"/>
      <c r="AA1" s="158"/>
      <c r="AB1" s="158"/>
      <c r="AC1" s="158"/>
    </row>
    <row r="2" spans="1:29" s="40" customFormat="1" ht="48" x14ac:dyDescent="0.2">
      <c r="A2" s="35" t="s">
        <v>0</v>
      </c>
      <c r="B2" s="34" t="s">
        <v>6</v>
      </c>
      <c r="C2" s="35" t="s">
        <v>309</v>
      </c>
      <c r="D2" s="35" t="s">
        <v>2</v>
      </c>
      <c r="E2" s="34" t="s">
        <v>1533</v>
      </c>
      <c r="F2" s="35" t="s">
        <v>1534</v>
      </c>
      <c r="G2" s="34" t="s">
        <v>81</v>
      </c>
      <c r="H2" s="34" t="s">
        <v>83</v>
      </c>
      <c r="I2" s="34" t="s">
        <v>1207</v>
      </c>
      <c r="J2" s="35" t="s">
        <v>82</v>
      </c>
      <c r="K2" s="35" t="s">
        <v>1535</v>
      </c>
      <c r="L2" s="35" t="s">
        <v>1536</v>
      </c>
      <c r="M2" s="34" t="s">
        <v>90</v>
      </c>
      <c r="N2" s="34" t="s">
        <v>1537</v>
      </c>
      <c r="O2" s="34" t="s">
        <v>1538</v>
      </c>
      <c r="P2" s="34" t="s">
        <v>1539</v>
      </c>
      <c r="Q2" s="34" t="s">
        <v>1540</v>
      </c>
      <c r="R2" s="34" t="s">
        <v>1541</v>
      </c>
      <c r="S2" s="34" t="s">
        <v>1542</v>
      </c>
      <c r="T2" s="34" t="s">
        <v>1543</v>
      </c>
      <c r="U2" s="34" t="s">
        <v>1544</v>
      </c>
      <c r="V2" s="34" t="s">
        <v>1545</v>
      </c>
      <c r="W2" s="34" t="s">
        <v>1546</v>
      </c>
      <c r="X2" s="34" t="s">
        <v>1547</v>
      </c>
      <c r="Y2" s="34" t="s">
        <v>1548</v>
      </c>
      <c r="Z2" s="34" t="s">
        <v>1549</v>
      </c>
      <c r="AA2" s="34" t="s">
        <v>75</v>
      </c>
      <c r="AB2" s="34" t="s">
        <v>1550</v>
      </c>
      <c r="AC2" s="35" t="s">
        <v>417</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549</v>
      </c>
      <c r="C4" s="18" t="s">
        <v>1551</v>
      </c>
      <c r="D4" s="18" t="s">
        <v>1552</v>
      </c>
      <c r="E4" s="18" t="s">
        <v>1553</v>
      </c>
      <c r="F4" s="18" t="s">
        <v>1554</v>
      </c>
      <c r="G4" s="18" t="s">
        <v>55</v>
      </c>
      <c r="H4" s="18" t="s">
        <v>346</v>
      </c>
      <c r="I4" s="18" t="s">
        <v>1221</v>
      </c>
      <c r="J4" s="18" t="s">
        <v>1555</v>
      </c>
      <c r="K4" s="18"/>
      <c r="L4" s="18"/>
      <c r="M4" s="33" t="s">
        <v>1556</v>
      </c>
      <c r="N4" s="18" t="s">
        <v>1557</v>
      </c>
      <c r="O4" s="18" t="s">
        <v>1557</v>
      </c>
      <c r="P4" s="18" t="s">
        <v>1558</v>
      </c>
      <c r="Q4" s="18" t="s">
        <v>1559</v>
      </c>
      <c r="R4" s="18" t="s">
        <v>1560</v>
      </c>
      <c r="S4" s="18" t="s">
        <v>1561</v>
      </c>
      <c r="T4" s="18" t="s">
        <v>1562</v>
      </c>
      <c r="U4" s="18" t="s">
        <v>190</v>
      </c>
      <c r="V4" s="18" t="s">
        <v>1563</v>
      </c>
      <c r="W4" s="18" t="s">
        <v>1554</v>
      </c>
      <c r="X4" s="136" t="s">
        <v>1564</v>
      </c>
      <c r="Y4" s="18" t="s">
        <v>1565</v>
      </c>
      <c r="Z4" s="18" t="s">
        <v>1566</v>
      </c>
      <c r="AA4" s="18"/>
      <c r="AB4" s="6" t="s">
        <v>1567</v>
      </c>
      <c r="AC4" s="18"/>
    </row>
    <row r="5" spans="1:29" ht="33" customHeight="1" x14ac:dyDescent="0.2">
      <c r="A5" s="32" t="s">
        <v>5</v>
      </c>
      <c r="B5" s="32" t="s">
        <v>549</v>
      </c>
      <c r="C5" s="32" t="s">
        <v>1568</v>
      </c>
      <c r="D5" s="32" t="s">
        <v>1569</v>
      </c>
      <c r="E5" s="32" t="s">
        <v>1570</v>
      </c>
      <c r="F5" s="32" t="s">
        <v>1554</v>
      </c>
      <c r="G5" s="32" t="s">
        <v>87</v>
      </c>
      <c r="H5" s="32" t="s">
        <v>101</v>
      </c>
      <c r="I5" s="1" t="s">
        <v>1220</v>
      </c>
      <c r="J5" s="32" t="s">
        <v>1555</v>
      </c>
      <c r="K5" s="32"/>
      <c r="L5" s="32"/>
      <c r="M5" s="32"/>
      <c r="N5" s="32" t="s">
        <v>1557</v>
      </c>
      <c r="O5" s="32" t="s">
        <v>1557</v>
      </c>
      <c r="P5" s="32" t="s">
        <v>1558</v>
      </c>
      <c r="Q5" s="32" t="s">
        <v>1559</v>
      </c>
      <c r="R5" s="32" t="s">
        <v>1560</v>
      </c>
      <c r="S5" s="32" t="s">
        <v>1561</v>
      </c>
      <c r="T5" s="32" t="s">
        <v>1562</v>
      </c>
      <c r="U5" s="32" t="s">
        <v>190</v>
      </c>
      <c r="V5" s="32" t="s">
        <v>1563</v>
      </c>
      <c r="W5" s="32" t="s">
        <v>1554</v>
      </c>
      <c r="X5" s="32" t="s">
        <v>1564</v>
      </c>
      <c r="Y5" s="32" t="s">
        <v>1565</v>
      </c>
      <c r="Z5" s="32" t="s">
        <v>1566</v>
      </c>
      <c r="AA5" s="32"/>
      <c r="AB5" s="33" t="s">
        <v>1571</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42" t="s">
        <v>1572</v>
      </c>
      <c r="B1" s="142"/>
      <c r="C1" s="142"/>
      <c r="D1" s="142"/>
      <c r="E1" s="142"/>
      <c r="F1" s="142"/>
      <c r="G1" s="142"/>
      <c r="H1" s="142"/>
      <c r="I1" s="137"/>
      <c r="J1" s="1"/>
    </row>
    <row r="2" spans="1:81" s="40" customFormat="1" ht="32" customHeight="1" x14ac:dyDescent="0.2">
      <c r="A2" s="26" t="s">
        <v>0</v>
      </c>
      <c r="B2" s="27" t="s">
        <v>6</v>
      </c>
      <c r="C2" s="26" t="s">
        <v>309</v>
      </c>
      <c r="D2" s="26" t="s">
        <v>2</v>
      </c>
      <c r="E2" s="26" t="s">
        <v>1573</v>
      </c>
      <c r="F2" s="26" t="s">
        <v>1574</v>
      </c>
      <c r="G2" s="26" t="s">
        <v>1575</v>
      </c>
      <c r="H2" s="26" t="s">
        <v>417</v>
      </c>
      <c r="CC2" s="26" t="s">
        <v>417</v>
      </c>
    </row>
    <row r="3" spans="1:81" x14ac:dyDescent="0.2">
      <c r="A3" s="33" t="s">
        <v>4</v>
      </c>
      <c r="B3" s="33"/>
      <c r="C3" s="33"/>
      <c r="D3" s="33"/>
      <c r="E3" s="33"/>
      <c r="F3" s="33"/>
      <c r="G3" s="33"/>
      <c r="H3" s="32"/>
    </row>
    <row r="4" spans="1:81" ht="32" customHeight="1" x14ac:dyDescent="0.2">
      <c r="A4" s="32" t="s">
        <v>1576</v>
      </c>
      <c r="B4" s="32" t="s">
        <v>549</v>
      </c>
      <c r="C4" s="32" t="s">
        <v>1551</v>
      </c>
      <c r="D4" s="32"/>
      <c r="E4" s="32" t="s">
        <v>1555</v>
      </c>
      <c r="F4" s="32" t="s">
        <v>1577</v>
      </c>
      <c r="G4" s="32" t="s">
        <v>1578</v>
      </c>
      <c r="H4" s="32"/>
    </row>
    <row r="5" spans="1:81" ht="32" customHeight="1" x14ac:dyDescent="0.2">
      <c r="A5" s="32"/>
      <c r="B5" s="32"/>
      <c r="C5" s="32"/>
      <c r="D5" s="32"/>
      <c r="E5" s="32"/>
      <c r="F5" s="32" t="s">
        <v>1579</v>
      </c>
      <c r="G5" s="32" t="s">
        <v>1580</v>
      </c>
      <c r="H5" s="32"/>
    </row>
    <row r="6" spans="1:81" ht="32" customHeight="1" x14ac:dyDescent="0.2">
      <c r="A6" s="32" t="s">
        <v>1576</v>
      </c>
      <c r="B6" s="32" t="s">
        <v>549</v>
      </c>
      <c r="C6" s="32" t="s">
        <v>1568</v>
      </c>
      <c r="D6" s="32"/>
      <c r="E6" s="32" t="s">
        <v>1555</v>
      </c>
      <c r="F6" s="32" t="s">
        <v>1577</v>
      </c>
      <c r="G6" s="32" t="s">
        <v>1578</v>
      </c>
      <c r="H6" s="32"/>
    </row>
    <row r="7" spans="1:81" ht="48" customHeight="1" x14ac:dyDescent="0.2">
      <c r="A7" s="32"/>
      <c r="B7" s="32"/>
      <c r="C7" s="32"/>
      <c r="D7" s="32"/>
      <c r="E7" s="32"/>
      <c r="F7" s="32" t="s">
        <v>1581</v>
      </c>
      <c r="G7" s="32" t="s">
        <v>1582</v>
      </c>
      <c r="H7" s="32"/>
    </row>
    <row r="8" spans="1:81" ht="48" customHeight="1" x14ac:dyDescent="0.2">
      <c r="A8" s="32"/>
      <c r="B8" s="32"/>
      <c r="C8" s="32"/>
      <c r="D8" s="32"/>
      <c r="E8" s="32"/>
      <c r="F8" s="32" t="s">
        <v>1583</v>
      </c>
      <c r="G8" s="32" t="s">
        <v>1584</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725</v>
      </c>
      <c r="B1" s="42" t="s">
        <v>712</v>
      </c>
      <c r="C1" s="44" t="s">
        <v>407</v>
      </c>
      <c r="D1" s="44" t="s">
        <v>728</v>
      </c>
      <c r="E1" s="42" t="s">
        <v>339</v>
      </c>
      <c r="F1" s="45" t="s">
        <v>716</v>
      </c>
      <c r="G1" s="45" t="s">
        <v>317</v>
      </c>
      <c r="H1" s="45" t="s">
        <v>316</v>
      </c>
      <c r="I1" s="68" t="s">
        <v>714</v>
      </c>
      <c r="J1" s="68" t="s">
        <v>715</v>
      </c>
      <c r="K1" s="45" t="s">
        <v>710</v>
      </c>
      <c r="L1" s="44" t="s">
        <v>852</v>
      </c>
      <c r="M1" s="44"/>
    </row>
    <row r="2" spans="1:13" ht="16" x14ac:dyDescent="0.2">
      <c r="A2" s="67" t="s">
        <v>99</v>
      </c>
      <c r="B2" s="43" t="s">
        <v>320</v>
      </c>
      <c r="C2" s="33" t="s">
        <v>408</v>
      </c>
      <c r="D2" s="33" t="s">
        <v>327</v>
      </c>
      <c r="E2" s="33" t="s">
        <v>340</v>
      </c>
      <c r="F2" s="43" t="s">
        <v>322</v>
      </c>
      <c r="G2" s="51" t="s">
        <v>329</v>
      </c>
      <c r="H2" s="33" t="s">
        <v>328</v>
      </c>
      <c r="I2" s="32">
        <v>80</v>
      </c>
      <c r="J2" s="32" t="s">
        <v>726</v>
      </c>
      <c r="K2" s="33">
        <v>1</v>
      </c>
      <c r="L2" t="s">
        <v>315</v>
      </c>
    </row>
    <row r="3" spans="1:13" ht="16" x14ac:dyDescent="0.2">
      <c r="A3" s="67" t="s">
        <v>720</v>
      </c>
      <c r="B3" s="33" t="s">
        <v>409</v>
      </c>
      <c r="C3" s="33" t="s">
        <v>324</v>
      </c>
      <c r="D3" s="33" t="s">
        <v>415</v>
      </c>
      <c r="E3" s="33" t="s">
        <v>341</v>
      </c>
      <c r="F3" s="33" t="s">
        <v>403</v>
      </c>
      <c r="G3" s="51" t="s">
        <v>519</v>
      </c>
      <c r="H3" s="33" t="s">
        <v>439</v>
      </c>
      <c r="I3" s="32">
        <v>40</v>
      </c>
      <c r="J3" s="32" t="s">
        <v>727</v>
      </c>
      <c r="K3" s="33">
        <v>2</v>
      </c>
      <c r="L3" t="s">
        <v>314</v>
      </c>
    </row>
    <row r="4" spans="1:13" x14ac:dyDescent="0.2">
      <c r="A4" s="67" t="s">
        <v>721</v>
      </c>
      <c r="B4" s="33" t="s">
        <v>335</v>
      </c>
      <c r="C4" s="33" t="s">
        <v>404</v>
      </c>
      <c r="D4" s="33"/>
      <c r="E4" s="33" t="s">
        <v>342</v>
      </c>
      <c r="F4" s="33"/>
      <c r="H4" s="6" t="s">
        <v>440</v>
      </c>
      <c r="L4" t="s">
        <v>851</v>
      </c>
    </row>
    <row r="5" spans="1:13" x14ac:dyDescent="0.2">
      <c r="A5" s="67" t="s">
        <v>331</v>
      </c>
      <c r="B5" s="33" t="s">
        <v>755</v>
      </c>
      <c r="C5" s="33" t="s">
        <v>410</v>
      </c>
      <c r="D5" s="33"/>
      <c r="E5" s="33" t="s">
        <v>343</v>
      </c>
      <c r="F5" s="33"/>
      <c r="H5" s="33" t="s">
        <v>441</v>
      </c>
      <c r="L5" t="s">
        <v>850</v>
      </c>
    </row>
    <row r="6" spans="1:13" x14ac:dyDescent="0.2">
      <c r="A6" s="67" t="s">
        <v>332</v>
      </c>
      <c r="B6" s="33"/>
      <c r="C6" s="33" t="s">
        <v>745</v>
      </c>
      <c r="D6" s="33"/>
      <c r="E6" s="33" t="s">
        <v>344</v>
      </c>
      <c r="F6" s="33"/>
      <c r="H6" s="33" t="s">
        <v>442</v>
      </c>
    </row>
    <row r="7" spans="1:13" x14ac:dyDescent="0.2">
      <c r="A7" s="67" t="s">
        <v>722</v>
      </c>
      <c r="B7" s="33"/>
      <c r="C7" s="33" t="s">
        <v>746</v>
      </c>
      <c r="D7" s="33"/>
      <c r="E7" s="33" t="s">
        <v>345</v>
      </c>
      <c r="F7" s="33"/>
      <c r="H7" s="33" t="s">
        <v>443</v>
      </c>
    </row>
    <row r="8" spans="1:13" x14ac:dyDescent="0.2">
      <c r="A8" s="67" t="s">
        <v>723</v>
      </c>
      <c r="B8" s="33"/>
      <c r="C8" s="33" t="s">
        <v>747</v>
      </c>
      <c r="D8" s="33"/>
      <c r="E8" s="33" t="s">
        <v>338</v>
      </c>
      <c r="F8" s="33"/>
      <c r="H8" s="33" t="s">
        <v>444</v>
      </c>
    </row>
    <row r="9" spans="1:13" x14ac:dyDescent="0.2">
      <c r="A9" s="67" t="s">
        <v>330</v>
      </c>
      <c r="B9" s="33"/>
      <c r="C9" s="33" t="s">
        <v>405</v>
      </c>
      <c r="D9" s="33"/>
      <c r="E9" s="33" t="s">
        <v>431</v>
      </c>
      <c r="F9" s="33"/>
      <c r="H9" s="33" t="s">
        <v>445</v>
      </c>
    </row>
    <row r="10" spans="1:13" x14ac:dyDescent="0.2">
      <c r="A10" s="67" t="s">
        <v>333</v>
      </c>
      <c r="B10" s="33"/>
      <c r="C10" s="33" t="s">
        <v>748</v>
      </c>
      <c r="D10" s="33"/>
      <c r="E10" s="33" t="s">
        <v>432</v>
      </c>
      <c r="F10" s="33"/>
      <c r="H10" s="33" t="s">
        <v>446</v>
      </c>
    </row>
    <row r="11" spans="1:13" x14ac:dyDescent="0.2">
      <c r="A11" s="67" t="s">
        <v>724</v>
      </c>
      <c r="B11" s="33"/>
      <c r="C11" s="33" t="s">
        <v>749</v>
      </c>
      <c r="D11" s="33"/>
      <c r="E11" s="33" t="s">
        <v>433</v>
      </c>
      <c r="F11" s="33"/>
      <c r="H11" s="33" t="s">
        <v>447</v>
      </c>
    </row>
    <row r="12" spans="1:13" x14ac:dyDescent="0.2">
      <c r="A12" s="67" t="s">
        <v>319</v>
      </c>
      <c r="B12" s="33"/>
      <c r="C12" s="33" t="s">
        <v>750</v>
      </c>
      <c r="D12" s="33"/>
      <c r="E12" s="33" t="s">
        <v>913</v>
      </c>
      <c r="F12" s="33"/>
      <c r="H12" s="33" t="s">
        <v>448</v>
      </c>
    </row>
    <row r="13" spans="1:13" x14ac:dyDescent="0.2">
      <c r="A13" s="67" t="s">
        <v>337</v>
      </c>
      <c r="B13" s="33"/>
      <c r="C13" s="33" t="s">
        <v>751</v>
      </c>
      <c r="D13" s="33"/>
      <c r="E13" s="33" t="s">
        <v>912</v>
      </c>
      <c r="F13" s="33"/>
      <c r="H13" s="33" t="s">
        <v>449</v>
      </c>
    </row>
    <row r="14" spans="1:13" x14ac:dyDescent="0.2">
      <c r="A14" s="67" t="s">
        <v>334</v>
      </c>
      <c r="B14" s="33"/>
      <c r="C14" s="33" t="s">
        <v>752</v>
      </c>
      <c r="D14" s="33"/>
      <c r="E14" s="33"/>
      <c r="F14" s="33"/>
      <c r="H14" s="33" t="s">
        <v>450</v>
      </c>
    </row>
    <row r="15" spans="1:13" x14ac:dyDescent="0.2">
      <c r="H15" s="33" t="s">
        <v>451</v>
      </c>
    </row>
    <row r="16" spans="1:13" x14ac:dyDescent="0.2">
      <c r="H16" s="33" t="s">
        <v>452</v>
      </c>
    </row>
    <row r="17" spans="8:8" x14ac:dyDescent="0.2">
      <c r="H17" s="33" t="s">
        <v>453</v>
      </c>
    </row>
    <row r="18" spans="8:8" x14ac:dyDescent="0.2">
      <c r="H18" s="33" t="s">
        <v>454</v>
      </c>
    </row>
    <row r="19" spans="8:8" x14ac:dyDescent="0.2">
      <c r="H19" s="33" t="s">
        <v>455</v>
      </c>
    </row>
    <row r="20" spans="8:8" x14ac:dyDescent="0.2">
      <c r="H20" s="33" t="s">
        <v>456</v>
      </c>
    </row>
    <row r="21" spans="8:8" x14ac:dyDescent="0.2">
      <c r="H21" s="33" t="s">
        <v>457</v>
      </c>
    </row>
    <row r="22" spans="8:8" x14ac:dyDescent="0.2">
      <c r="H22" s="33" t="s">
        <v>458</v>
      </c>
    </row>
    <row r="23" spans="8:8" x14ac:dyDescent="0.2">
      <c r="H23" s="33" t="s">
        <v>459</v>
      </c>
    </row>
    <row r="24" spans="8:8" x14ac:dyDescent="0.2">
      <c r="H24" s="33" t="s">
        <v>460</v>
      </c>
    </row>
    <row r="25" spans="8:8" x14ac:dyDescent="0.2">
      <c r="H25" s="33" t="s">
        <v>461</v>
      </c>
    </row>
    <row r="26" spans="8:8" x14ac:dyDescent="0.2">
      <c r="H26" s="33" t="s">
        <v>462</v>
      </c>
    </row>
    <row r="27" spans="8:8" x14ac:dyDescent="0.2">
      <c r="H27" s="33" t="s">
        <v>463</v>
      </c>
    </row>
    <row r="28" spans="8:8" x14ac:dyDescent="0.2">
      <c r="H28" s="33" t="s">
        <v>464</v>
      </c>
    </row>
    <row r="29" spans="8:8" x14ac:dyDescent="0.2">
      <c r="H29" s="33" t="s">
        <v>465</v>
      </c>
    </row>
    <row r="30" spans="8:8" x14ac:dyDescent="0.2">
      <c r="H30" s="33" t="s">
        <v>466</v>
      </c>
    </row>
    <row r="31" spans="8:8" x14ac:dyDescent="0.2">
      <c r="H31" s="33" t="s">
        <v>467</v>
      </c>
    </row>
    <row r="32" spans="8:8" x14ac:dyDescent="0.2">
      <c r="H32" s="33" t="s">
        <v>468</v>
      </c>
    </row>
    <row r="33" spans="8:8" x14ac:dyDescent="0.2">
      <c r="H33" s="33" t="s">
        <v>469</v>
      </c>
    </row>
    <row r="34" spans="8:8" x14ac:dyDescent="0.2">
      <c r="H34" s="33" t="s">
        <v>470</v>
      </c>
    </row>
    <row r="35" spans="8:8" x14ac:dyDescent="0.2">
      <c r="H35" s="33" t="s">
        <v>471</v>
      </c>
    </row>
    <row r="36" spans="8:8" x14ac:dyDescent="0.2">
      <c r="H36" s="33" t="s">
        <v>472</v>
      </c>
    </row>
    <row r="37" spans="8:8" x14ac:dyDescent="0.2">
      <c r="H37" s="33" t="s">
        <v>473</v>
      </c>
    </row>
    <row r="38" spans="8:8" x14ac:dyDescent="0.2">
      <c r="H38" s="33" t="s">
        <v>474</v>
      </c>
    </row>
    <row r="39" spans="8:8" x14ac:dyDescent="0.2">
      <c r="H39" s="33" t="s">
        <v>475</v>
      </c>
    </row>
    <row r="40" spans="8:8" x14ac:dyDescent="0.2">
      <c r="H40" s="33" t="s">
        <v>476</v>
      </c>
    </row>
    <row r="41" spans="8:8" x14ac:dyDescent="0.2">
      <c r="H41" s="33" t="s">
        <v>477</v>
      </c>
    </row>
    <row r="42" spans="8:8" x14ac:dyDescent="0.2">
      <c r="H42" s="33" t="s">
        <v>478</v>
      </c>
    </row>
    <row r="43" spans="8:8" x14ac:dyDescent="0.2">
      <c r="H43" s="33" t="s">
        <v>479</v>
      </c>
    </row>
    <row r="44" spans="8:8" x14ac:dyDescent="0.2">
      <c r="H44" s="33" t="s">
        <v>480</v>
      </c>
    </row>
    <row r="45" spans="8:8" x14ac:dyDescent="0.2">
      <c r="H45" s="33" t="s">
        <v>481</v>
      </c>
    </row>
    <row r="46" spans="8:8" x14ac:dyDescent="0.2">
      <c r="H46" s="33" t="s">
        <v>482</v>
      </c>
    </row>
    <row r="47" spans="8:8" x14ac:dyDescent="0.2">
      <c r="H47" s="33" t="s">
        <v>483</v>
      </c>
    </row>
    <row r="48" spans="8:8" x14ac:dyDescent="0.2">
      <c r="H48" s="33" t="s">
        <v>484</v>
      </c>
    </row>
    <row r="49" spans="8:8" x14ac:dyDescent="0.2">
      <c r="H49" s="33" t="s">
        <v>485</v>
      </c>
    </row>
    <row r="50" spans="8:8" x14ac:dyDescent="0.2">
      <c r="H50" s="33" t="s">
        <v>486</v>
      </c>
    </row>
    <row r="51" spans="8:8" x14ac:dyDescent="0.2">
      <c r="H51" s="33" t="s">
        <v>487</v>
      </c>
    </row>
    <row r="52" spans="8:8" x14ac:dyDescent="0.2">
      <c r="H52" s="33" t="s">
        <v>488</v>
      </c>
    </row>
    <row r="53" spans="8:8" x14ac:dyDescent="0.2">
      <c r="H53" s="33" t="s">
        <v>489</v>
      </c>
    </row>
    <row r="54" spans="8:8" x14ac:dyDescent="0.2">
      <c r="H54" s="33" t="s">
        <v>490</v>
      </c>
    </row>
    <row r="55" spans="8:8" x14ac:dyDescent="0.2">
      <c r="H55" s="33" t="s">
        <v>491</v>
      </c>
    </row>
    <row r="56" spans="8:8" x14ac:dyDescent="0.2">
      <c r="H56" s="33" t="s">
        <v>492</v>
      </c>
    </row>
    <row r="57" spans="8:8" x14ac:dyDescent="0.2">
      <c r="H57" s="33" t="s">
        <v>493</v>
      </c>
    </row>
    <row r="58" spans="8:8" x14ac:dyDescent="0.2">
      <c r="H58" s="33" t="s">
        <v>494</v>
      </c>
    </row>
    <row r="59" spans="8:8" x14ac:dyDescent="0.2">
      <c r="H59" s="33" t="s">
        <v>495</v>
      </c>
    </row>
    <row r="60" spans="8:8" x14ac:dyDescent="0.2">
      <c r="H60" s="33" t="s">
        <v>496</v>
      </c>
    </row>
    <row r="61" spans="8:8" x14ac:dyDescent="0.2">
      <c r="H61" s="33" t="s">
        <v>497</v>
      </c>
    </row>
    <row r="62" spans="8:8" x14ac:dyDescent="0.2">
      <c r="H62" s="33" t="s">
        <v>498</v>
      </c>
    </row>
    <row r="63" spans="8:8" x14ac:dyDescent="0.2">
      <c r="H63" s="33" t="s">
        <v>499</v>
      </c>
    </row>
    <row r="64" spans="8:8" x14ac:dyDescent="0.2">
      <c r="H64" s="33" t="s">
        <v>500</v>
      </c>
    </row>
    <row r="65" spans="8:8" x14ac:dyDescent="0.2">
      <c r="H65" s="33" t="s">
        <v>501</v>
      </c>
    </row>
    <row r="66" spans="8:8" x14ac:dyDescent="0.2">
      <c r="H66" s="33" t="s">
        <v>502</v>
      </c>
    </row>
    <row r="67" spans="8:8" x14ac:dyDescent="0.2">
      <c r="H67" s="33" t="s">
        <v>503</v>
      </c>
    </row>
    <row r="68" spans="8:8" x14ac:dyDescent="0.2">
      <c r="H68" s="33" t="s">
        <v>504</v>
      </c>
    </row>
    <row r="69" spans="8:8" x14ac:dyDescent="0.2">
      <c r="H69" s="33" t="s">
        <v>505</v>
      </c>
    </row>
    <row r="70" spans="8:8" x14ac:dyDescent="0.2">
      <c r="H70" s="33" t="s">
        <v>506</v>
      </c>
    </row>
    <row r="71" spans="8:8" x14ac:dyDescent="0.2">
      <c r="H71" s="33" t="s">
        <v>507</v>
      </c>
    </row>
    <row r="72" spans="8:8" x14ac:dyDescent="0.2">
      <c r="H72" s="33" t="s">
        <v>508</v>
      </c>
    </row>
    <row r="73" spans="8:8" x14ac:dyDescent="0.2">
      <c r="H73" s="33" t="s">
        <v>509</v>
      </c>
    </row>
    <row r="74" spans="8:8" x14ac:dyDescent="0.2">
      <c r="H74" s="33" t="s">
        <v>510</v>
      </c>
    </row>
    <row r="75" spans="8:8" x14ac:dyDescent="0.2">
      <c r="H75" s="33" t="s">
        <v>511</v>
      </c>
    </row>
    <row r="76" spans="8:8" x14ac:dyDescent="0.2">
      <c r="H76" s="33" t="s">
        <v>512</v>
      </c>
    </row>
    <row r="77" spans="8:8" x14ac:dyDescent="0.2">
      <c r="H77" s="33" t="s">
        <v>513</v>
      </c>
    </row>
    <row r="78" spans="8:8" x14ac:dyDescent="0.2">
      <c r="H78" s="33" t="s">
        <v>514</v>
      </c>
    </row>
    <row r="79" spans="8:8" x14ac:dyDescent="0.2">
      <c r="H79" s="33" t="s">
        <v>515</v>
      </c>
    </row>
    <row r="80" spans="8:8" x14ac:dyDescent="0.2">
      <c r="H80" s="33" t="s">
        <v>516</v>
      </c>
    </row>
    <row r="81" spans="8:8" x14ac:dyDescent="0.2">
      <c r="H81" s="33" t="s">
        <v>517</v>
      </c>
    </row>
    <row r="82" spans="8:8" x14ac:dyDescent="0.2">
      <c r="H82" s="33" t="s">
        <v>518</v>
      </c>
    </row>
    <row r="83" spans="8:8" x14ac:dyDescent="0.2">
      <c r="H83" s="33" t="s">
        <v>519</v>
      </c>
    </row>
    <row r="84" spans="8:8" x14ac:dyDescent="0.2">
      <c r="H84" s="33" t="s">
        <v>520</v>
      </c>
    </row>
    <row r="85" spans="8:8" x14ac:dyDescent="0.2">
      <c r="H85" s="33" t="s">
        <v>521</v>
      </c>
    </row>
    <row r="86" spans="8:8" x14ac:dyDescent="0.2">
      <c r="H86" s="33" t="s">
        <v>522</v>
      </c>
    </row>
    <row r="87" spans="8:8" x14ac:dyDescent="0.2">
      <c r="H87" s="33" t="s">
        <v>523</v>
      </c>
    </row>
    <row r="88" spans="8:8" x14ac:dyDescent="0.2">
      <c r="H88" s="33" t="s">
        <v>524</v>
      </c>
    </row>
    <row r="89" spans="8:8" x14ac:dyDescent="0.2">
      <c r="H89" s="33" t="s">
        <v>525</v>
      </c>
    </row>
    <row r="90" spans="8:8" x14ac:dyDescent="0.2">
      <c r="H90" s="33" t="s">
        <v>526</v>
      </c>
    </row>
    <row r="91" spans="8:8" x14ac:dyDescent="0.2">
      <c r="H91" s="33" t="s">
        <v>527</v>
      </c>
    </row>
    <row r="92" spans="8:8" x14ac:dyDescent="0.2">
      <c r="H92" s="33" t="s">
        <v>528</v>
      </c>
    </row>
    <row r="93" spans="8:8" x14ac:dyDescent="0.2">
      <c r="H93" s="33" t="s">
        <v>529</v>
      </c>
    </row>
    <row r="94" spans="8:8" x14ac:dyDescent="0.2">
      <c r="H94" s="33" t="s">
        <v>530</v>
      </c>
    </row>
    <row r="95" spans="8:8" x14ac:dyDescent="0.2">
      <c r="H95" s="33" t="s">
        <v>531</v>
      </c>
    </row>
    <row r="96" spans="8:8" x14ac:dyDescent="0.2">
      <c r="H96" s="33" t="s">
        <v>532</v>
      </c>
    </row>
    <row r="97" spans="8:8" x14ac:dyDescent="0.2">
      <c r="H97" s="33" t="s">
        <v>533</v>
      </c>
    </row>
    <row r="98" spans="8:8" x14ac:dyDescent="0.2">
      <c r="H98" s="33" t="s">
        <v>534</v>
      </c>
    </row>
    <row r="99" spans="8:8" x14ac:dyDescent="0.2">
      <c r="H99" s="33" t="s">
        <v>535</v>
      </c>
    </row>
    <row r="100" spans="8:8" x14ac:dyDescent="0.2">
      <c r="H100" s="33" t="s">
        <v>536</v>
      </c>
    </row>
    <row r="101" spans="8:8" x14ac:dyDescent="0.2">
      <c r="H101" s="33" t="s">
        <v>537</v>
      </c>
    </row>
    <row r="102" spans="8:8" x14ac:dyDescent="0.2">
      <c r="H102" s="33" t="s">
        <v>538</v>
      </c>
    </row>
    <row r="103" spans="8:8" x14ac:dyDescent="0.2">
      <c r="H103" s="33" t="s">
        <v>539</v>
      </c>
    </row>
    <row r="104" spans="8:8" x14ac:dyDescent="0.2">
      <c r="H104" s="33" t="s">
        <v>540</v>
      </c>
    </row>
    <row r="105" spans="8:8" x14ac:dyDescent="0.2">
      <c r="H105" s="33" t="s">
        <v>541</v>
      </c>
    </row>
    <row r="106" spans="8:8" x14ac:dyDescent="0.2">
      <c r="H106" s="33" t="s">
        <v>542</v>
      </c>
    </row>
    <row r="107" spans="8:8" x14ac:dyDescent="0.2">
      <c r="H107" s="33" t="s">
        <v>543</v>
      </c>
    </row>
    <row r="108" spans="8:8" x14ac:dyDescent="0.2">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1" t="s">
        <v>247</v>
      </c>
      <c r="B1" s="10" t="s">
        <v>248</v>
      </c>
      <c r="C1" s="16" t="s">
        <v>249</v>
      </c>
      <c r="D1" s="21" t="s">
        <v>250</v>
      </c>
      <c r="E1" s="16" t="s">
        <v>251</v>
      </c>
      <c r="F1" s="20" t="s">
        <v>252</v>
      </c>
    </row>
    <row r="2" spans="1:6" ht="28.75" customHeight="1" x14ac:dyDescent="0.2">
      <c r="A2" s="12" t="s">
        <v>212</v>
      </c>
      <c r="B2" s="25" t="s">
        <v>253</v>
      </c>
      <c r="C2" s="22" t="s">
        <v>203</v>
      </c>
      <c r="D2" s="23" t="s">
        <v>201</v>
      </c>
      <c r="E2" s="19">
        <v>301</v>
      </c>
      <c r="F2" s="19">
        <v>8</v>
      </c>
    </row>
    <row r="3" spans="1:6" ht="28.75" customHeight="1" x14ac:dyDescent="0.2">
      <c r="A3" s="12" t="s">
        <v>216</v>
      </c>
      <c r="B3" s="25" t="s">
        <v>254</v>
      </c>
      <c r="C3" s="17" t="s">
        <v>236</v>
      </c>
      <c r="D3" t="s">
        <v>197</v>
      </c>
      <c r="E3" s="25">
        <v>302</v>
      </c>
      <c r="F3" s="25">
        <v>16</v>
      </c>
    </row>
    <row r="4" spans="1:6" ht="28.75" customHeight="1" x14ac:dyDescent="0.2">
      <c r="A4" s="12" t="s">
        <v>196</v>
      </c>
      <c r="B4" s="25" t="s">
        <v>255</v>
      </c>
      <c r="C4" s="17" t="s">
        <v>207</v>
      </c>
      <c r="D4" t="s">
        <v>256</v>
      </c>
      <c r="E4" s="25">
        <v>303</v>
      </c>
      <c r="F4" s="25">
        <v>32</v>
      </c>
    </row>
    <row r="5" spans="1:6" ht="28.75" customHeight="1" x14ac:dyDescent="0.2">
      <c r="A5" s="12" t="s">
        <v>189</v>
      </c>
      <c r="B5" s="25" t="s">
        <v>257</v>
      </c>
      <c r="C5" s="17" t="s">
        <v>233</v>
      </c>
      <c r="D5" s="41"/>
      <c r="E5" s="25">
        <v>307</v>
      </c>
      <c r="F5" s="25">
        <v>64</v>
      </c>
    </row>
    <row r="6" spans="1:6" ht="28.75" customHeight="1" x14ac:dyDescent="0.2">
      <c r="A6" s="12" t="s">
        <v>209</v>
      </c>
      <c r="B6" s="25" t="s">
        <v>258</v>
      </c>
      <c r="C6" s="18"/>
      <c r="E6" s="25">
        <v>308</v>
      </c>
      <c r="F6" s="6"/>
    </row>
    <row r="7" spans="1:6" ht="28.75" customHeight="1" x14ac:dyDescent="0.2">
      <c r="A7" s="12" t="s">
        <v>221</v>
      </c>
      <c r="B7" s="25" t="s">
        <v>259</v>
      </c>
      <c r="E7" s="6"/>
    </row>
    <row r="8" spans="1:6" ht="28.75" customHeight="1" x14ac:dyDescent="0.2">
      <c r="A8" s="12" t="s">
        <v>195</v>
      </c>
      <c r="B8" s="25" t="s">
        <v>194</v>
      </c>
    </row>
    <row r="9" spans="1:6" ht="28.75" customHeight="1" x14ac:dyDescent="0.2">
      <c r="A9" s="12" t="s">
        <v>200</v>
      </c>
      <c r="B9" s="25" t="s">
        <v>190</v>
      </c>
    </row>
    <row r="10" spans="1:6" ht="28.75" customHeight="1" x14ac:dyDescent="0.2">
      <c r="A10" s="12" t="s">
        <v>214</v>
      </c>
      <c r="B10" s="25" t="s">
        <v>260</v>
      </c>
    </row>
    <row r="11" spans="1:6" ht="28.75" customHeight="1" x14ac:dyDescent="0.2">
      <c r="A11" s="12" t="s">
        <v>219</v>
      </c>
      <c r="B11" s="25" t="s">
        <v>261</v>
      </c>
    </row>
    <row r="12" spans="1:6" ht="28.75" customHeight="1" x14ac:dyDescent="0.2">
      <c r="A12" s="13"/>
      <c r="B12" s="25" t="s">
        <v>262</v>
      </c>
    </row>
    <row r="13" spans="1:6" ht="28.75" customHeight="1" x14ac:dyDescent="0.2">
      <c r="B13" s="25" t="s">
        <v>263</v>
      </c>
    </row>
    <row r="14" spans="1:6" ht="28.75" customHeight="1" x14ac:dyDescent="0.2">
      <c r="B14" s="25" t="s">
        <v>264</v>
      </c>
    </row>
    <row r="15" spans="1:6" ht="28.75" customHeight="1" x14ac:dyDescent="0.2">
      <c r="B15" s="25" t="s">
        <v>265</v>
      </c>
    </row>
    <row r="16" spans="1:6" ht="28.75" customHeight="1" x14ac:dyDescent="0.2">
      <c r="B16" s="25" t="s">
        <v>266</v>
      </c>
    </row>
    <row r="17" spans="2:2" ht="28.75" customHeight="1" x14ac:dyDescent="0.2">
      <c r="B17" s="25" t="s">
        <v>267</v>
      </c>
    </row>
    <row r="18" spans="2:2" ht="28.75" customHeight="1" x14ac:dyDescent="0.2">
      <c r="B18" s="25" t="s">
        <v>268</v>
      </c>
    </row>
    <row r="19" spans="2:2" ht="28.75" customHeight="1" x14ac:dyDescent="0.2">
      <c r="B19" s="25" t="s">
        <v>269</v>
      </c>
    </row>
    <row r="20" spans="2:2" ht="28.75" customHeight="1" x14ac:dyDescent="0.2">
      <c r="B20" s="25" t="s">
        <v>270</v>
      </c>
    </row>
    <row r="21" spans="2:2" ht="28.75" customHeight="1" x14ac:dyDescent="0.2">
      <c r="B21" s="25" t="s">
        <v>271</v>
      </c>
    </row>
    <row r="22" spans="2:2" ht="28.75" customHeight="1" x14ac:dyDescent="0.2">
      <c r="B22" s="25" t="s">
        <v>272</v>
      </c>
    </row>
    <row r="23" spans="2:2" ht="28.75" customHeight="1" x14ac:dyDescent="0.2">
      <c r="B23" s="25" t="s">
        <v>273</v>
      </c>
    </row>
    <row r="24" spans="2:2" ht="28.75" customHeight="1" x14ac:dyDescent="0.2">
      <c r="B24" s="25" t="s">
        <v>274</v>
      </c>
    </row>
    <row r="25" spans="2:2" ht="28.75" customHeight="1" x14ac:dyDescent="0.2">
      <c r="B25" s="25" t="s">
        <v>275</v>
      </c>
    </row>
    <row r="26" spans="2:2" ht="28.75" customHeight="1" x14ac:dyDescent="0.2">
      <c r="B26" s="25" t="s">
        <v>276</v>
      </c>
    </row>
    <row r="27" spans="2:2" ht="28.75" customHeight="1" x14ac:dyDescent="0.2">
      <c r="B27" s="25" t="s">
        <v>277</v>
      </c>
    </row>
    <row r="28" spans="2:2" ht="28.75" customHeight="1" x14ac:dyDescent="0.2">
      <c r="B28" s="25" t="s">
        <v>278</v>
      </c>
    </row>
    <row r="29" spans="2:2" ht="28.75" customHeight="1" x14ac:dyDescent="0.2">
      <c r="B29" s="25" t="s">
        <v>279</v>
      </c>
    </row>
    <row r="30" spans="2:2" ht="28.75" customHeight="1" x14ac:dyDescent="0.2">
      <c r="B30" s="25" t="s">
        <v>280</v>
      </c>
    </row>
    <row r="31" spans="2:2" ht="28.75" customHeight="1" x14ac:dyDescent="0.2">
      <c r="B31" s="25" t="s">
        <v>281</v>
      </c>
    </row>
    <row r="32" spans="2:2" ht="28.75" customHeight="1" x14ac:dyDescent="0.2">
      <c r="B32" s="25" t="s">
        <v>282</v>
      </c>
    </row>
    <row r="33" spans="2:2" ht="28.75" customHeight="1" x14ac:dyDescent="0.2">
      <c r="B33" s="25" t="s">
        <v>283</v>
      </c>
    </row>
    <row r="34" spans="2:2" ht="28.75" customHeight="1" x14ac:dyDescent="0.2">
      <c r="B34" s="25" t="s">
        <v>193</v>
      </c>
    </row>
    <row r="35" spans="2:2" ht="28.75" customHeight="1" x14ac:dyDescent="0.2">
      <c r="B35" s="25" t="s">
        <v>284</v>
      </c>
    </row>
    <row r="36" spans="2:2" ht="28.75" customHeight="1" x14ac:dyDescent="0.2">
      <c r="B36" s="25" t="s">
        <v>191</v>
      </c>
    </row>
    <row r="37" spans="2:2" ht="28.75" customHeight="1" x14ac:dyDescent="0.2">
      <c r="B37" s="25" t="s">
        <v>285</v>
      </c>
    </row>
    <row r="38" spans="2:2" ht="28.75" customHeight="1" x14ac:dyDescent="0.2">
      <c r="B38" s="25" t="s">
        <v>192</v>
      </c>
    </row>
    <row r="39" spans="2:2" ht="28.75" customHeight="1" x14ac:dyDescent="0.2">
      <c r="B39" s="25" t="s">
        <v>286</v>
      </c>
    </row>
    <row r="40" spans="2:2" ht="28.75" customHeight="1" x14ac:dyDescent="0.2">
      <c r="B40" s="25" t="s">
        <v>287</v>
      </c>
    </row>
    <row r="41" spans="2:2" ht="28.75" customHeight="1" x14ac:dyDescent="0.2">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x14ac:dyDescent="0.2"/>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x14ac:dyDescent="0.2">
      <c r="A1" s="65" t="s">
        <v>649</v>
      </c>
      <c r="B1" s="65" t="s">
        <v>650</v>
      </c>
      <c r="C1" s="65" t="s">
        <v>651</v>
      </c>
      <c r="D1" s="65" t="s">
        <v>1047</v>
      </c>
      <c r="E1" s="65" t="s">
        <v>1226</v>
      </c>
      <c r="F1" s="65" t="s">
        <v>1011</v>
      </c>
      <c r="G1" s="65" t="s">
        <v>1012</v>
      </c>
      <c r="H1" s="65" t="s">
        <v>1013</v>
      </c>
      <c r="I1" s="65" t="s">
        <v>1014</v>
      </c>
      <c r="J1" s="65" t="s">
        <v>1015</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857</v>
      </c>
      <c r="AR1" s="56" t="s">
        <v>886</v>
      </c>
      <c r="AS1" s="56" t="s">
        <v>887</v>
      </c>
      <c r="AT1" s="56" t="s">
        <v>1048</v>
      </c>
      <c r="AU1" s="56" t="s">
        <v>652</v>
      </c>
      <c r="AV1" s="56" t="s">
        <v>1014</v>
      </c>
    </row>
    <row r="2" spans="1:48" s="58" customFormat="1" ht="16" x14ac:dyDescent="0.2">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4" t="s">
        <v>1243</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873</v>
      </c>
      <c r="AR2" s="58" t="b">
        <v>0</v>
      </c>
      <c r="AS2" s="58" t="s">
        <v>878</v>
      </c>
      <c r="AT2" s="58" t="str" cm="1">
        <f t="array" aca="1" ref="AT2:AT5" ca="1">_xlfn.UNIQUE(INDIRECT("B2:B"&amp;$G$5),FALSE,FALSE)</f>
        <v>VCN::hub-vcn</v>
      </c>
      <c r="AU2" s="106" t="str">
        <f ca="1">_xlfn.IFNA(IF($H2+1&gt;$G$2,"",INDEX(INDIRECT("SubnetsVLANs!$D$"&amp;$H2+2&amp;":$D$"&amp;$G$2),MATCH("Subnet*",INDIRECT("SubnetsVLANs!$E$"&amp;$H2+2&amp;":$E$"&amp;$G$2),0))),"")</f>
        <v>pvt-infra</v>
      </c>
      <c r="AV2" s="58" t="str" cm="1">
        <f t="array" aca="1" ref="AV2:AV11" ca="1">_xlfn.UNIQUE(INDIRECT("AU2:AU"&amp;$G$2),FALSE,FALSE)</f>
        <v>pvt-infra</v>
      </c>
    </row>
    <row r="3" spans="1:48" s="58" customFormat="1" x14ac:dyDescent="0.2">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889</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882</v>
      </c>
      <c r="AR3" s="58" t="b">
        <v>1</v>
      </c>
      <c r="AS3" s="58" t="s">
        <v>888</v>
      </c>
      <c r="AT3" s="58" t="str">
        <f ca="1"/>
        <v>VCN::prod-vcn</v>
      </c>
      <c r="AU3" s="106" t="str">
        <f t="shared" ref="AU3:AU67" ca="1" si="1">_xlfn.IFNA(IF($H3+1&gt;$G$2,"",INDEX(INDIRECT("SubnetsVLANs!$D$"&amp;$H3+2&amp;":$D$"&amp;$G$2),MATCH("Subnet*",INDIRECT("SubnetsVLANs!$E$"&amp;$H3+2&amp;":$E$"&amp;$G$2),0))),"")</f>
        <v>pub-infra</v>
      </c>
      <c r="AV3" s="58" t="str">
        <f ca="1"/>
        <v>pub-infra</v>
      </c>
    </row>
    <row r="4" spans="1:48" s="58" customFormat="1" x14ac:dyDescent="0.2">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872</v>
      </c>
      <c r="AT4" s="58" t="str">
        <f ca="1"/>
        <v>VCN::nonprod-vcn</v>
      </c>
      <c r="AU4" s="106" t="str">
        <f t="shared" ca="1" si="1"/>
        <v>prod-dmz</v>
      </c>
      <c r="AV4" s="58" t="str">
        <f ca="1"/>
        <v>prod-dmz</v>
      </c>
    </row>
    <row r="5" spans="1:48" s="58" customFormat="1" x14ac:dyDescent="0.2">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6" t="str">
        <f t="shared" ca="1" si="1"/>
        <v>prod-app</v>
      </c>
      <c r="AV5" s="58" t="str">
        <f ca="1"/>
        <v>prod-app</v>
      </c>
    </row>
    <row r="6" spans="1:48" s="58" customFormat="1" x14ac:dyDescent="0.2">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1244</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6" t="str">
        <f t="shared" ca="1" si="1"/>
        <v>prod-svc</v>
      </c>
      <c r="AV6" s="58" t="str">
        <f ca="1"/>
        <v>prod-svc</v>
      </c>
    </row>
    <row r="7" spans="1:48" s="58" customFormat="1" x14ac:dyDescent="0.2">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890</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6" t="str">
        <f t="shared" ca="1" si="1"/>
        <v>prod-db</v>
      </c>
      <c r="AV7" s="58" t="str">
        <f ca="1"/>
        <v>prod-db</v>
      </c>
    </row>
    <row r="8" spans="1:48" s="58" customFormat="1" x14ac:dyDescent="0.2">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891</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6" t="str">
        <f t="shared" ca="1" si="1"/>
        <v>nonprod-dmz</v>
      </c>
      <c r="AV8" s="58" t="str">
        <f ca="1"/>
        <v>nonprod-dmz</v>
      </c>
    </row>
    <row r="9" spans="1:48" s="58" customFormat="1" x14ac:dyDescent="0.2">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6" t="str">
        <f t="shared" ca="1" si="1"/>
        <v>nonprod-app</v>
      </c>
      <c r="AV9" s="58" t="str">
        <f ca="1"/>
        <v>nonprod-app</v>
      </c>
    </row>
    <row r="10" spans="1:48" s="58" customFormat="1" x14ac:dyDescent="0.2">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6" t="str">
        <f t="shared" ca="1" si="1"/>
        <v>nonprod-svc</v>
      </c>
      <c r="AV10" s="58" t="str">
        <f ca="1"/>
        <v>nonprod-svc</v>
      </c>
    </row>
    <row r="11" spans="1:48" s="58" customFormat="1" x14ac:dyDescent="0.2">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6" t="str">
        <f t="shared" ca="1" si="1"/>
        <v>nonprod-db</v>
      </c>
      <c r="AV11" s="58" t="str">
        <f ca="1"/>
        <v>nonprod-db</v>
      </c>
    </row>
    <row r="12" spans="1:48" s="58" customFormat="1" x14ac:dyDescent="0.2">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6" t="str">
        <f t="shared" ca="1" si="1"/>
        <v>nonprod-db</v>
      </c>
    </row>
    <row r="13" spans="1:48" s="58" customFormat="1" x14ac:dyDescent="0.2">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6" t="str">
        <f t="shared" ca="1" si="1"/>
        <v/>
      </c>
    </row>
    <row r="14" spans="1:48" s="58" customFormat="1" x14ac:dyDescent="0.2">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897</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6" t="str">
        <f t="shared" ca="1" si="1"/>
        <v/>
      </c>
    </row>
    <row r="15" spans="1:48" s="58" customFormat="1" x14ac:dyDescent="0.2">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898</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6" t="str">
        <f t="shared" ca="1" si="1"/>
        <v/>
      </c>
    </row>
    <row r="16" spans="1:48" s="58" customFormat="1" x14ac:dyDescent="0.2">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1245</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6" t="str">
        <f t="shared" ca="1" si="1"/>
        <v/>
      </c>
    </row>
    <row r="17" spans="1:47" s="58" customFormat="1" x14ac:dyDescent="0.2">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6" t="str">
        <f t="shared" ca="1" si="1"/>
        <v/>
      </c>
    </row>
    <row r="18" spans="1:47" s="58" customFormat="1" x14ac:dyDescent="0.2">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901</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6" t="str">
        <f t="shared" ca="1" si="1"/>
        <v/>
      </c>
    </row>
    <row r="19" spans="1:47" s="58" customFormat="1" x14ac:dyDescent="0.2">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902</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6" t="str">
        <f t="shared" ca="1" si="1"/>
        <v/>
      </c>
    </row>
    <row r="20" spans="1:47" s="58" customFormat="1" x14ac:dyDescent="0.2">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6" t="str">
        <f t="shared" ca="1" si="1"/>
        <v/>
      </c>
    </row>
    <row r="21" spans="1:47" s="58" customFormat="1" x14ac:dyDescent="0.2">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903</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6" t="str">
        <f t="shared" ca="1" si="1"/>
        <v/>
      </c>
    </row>
    <row r="22" spans="1:47" s="58" customFormat="1" x14ac:dyDescent="0.2">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6" t="str">
        <f t="shared" ca="1" si="1"/>
        <v/>
      </c>
    </row>
    <row r="23" spans="1:47" s="58" customFormat="1" x14ac:dyDescent="0.2">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1246</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6" t="str">
        <f t="shared" ca="1" si="1"/>
        <v/>
      </c>
    </row>
    <row r="24" spans="1:47" s="58" customFormat="1" x14ac:dyDescent="0.2">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6" t="str">
        <f t="shared" ca="1" si="1"/>
        <v/>
      </c>
    </row>
    <row r="25" spans="1:47" s="58" customFormat="1" x14ac:dyDescent="0.2">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1247</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6" t="str">
        <f t="shared" ca="1" si="1"/>
        <v/>
      </c>
    </row>
    <row r="26" spans="1:47" s="58" customFormat="1" x14ac:dyDescent="0.2">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6" t="str">
        <f t="shared" ca="1" si="1"/>
        <v/>
      </c>
    </row>
    <row r="27" spans="1:47" s="58" customFormat="1" x14ac:dyDescent="0.2">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904</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6" t="str">
        <f t="shared" ca="1" si="1"/>
        <v/>
      </c>
    </row>
    <row r="28" spans="1:47" s="58" customFormat="1" x14ac:dyDescent="0.2">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6" t="str">
        <f t="shared" ca="1" si="1"/>
        <v/>
      </c>
    </row>
    <row r="29" spans="1:47" s="58" customFormat="1" x14ac:dyDescent="0.2">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905</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6" t="str">
        <f t="shared" ca="1" si="1"/>
        <v/>
      </c>
    </row>
    <row r="30" spans="1:47" s="58" customFormat="1" x14ac:dyDescent="0.2">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1248</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6" t="str">
        <f t="shared" ca="1" si="1"/>
        <v/>
      </c>
    </row>
    <row r="31" spans="1:47" s="58" customFormat="1" x14ac:dyDescent="0.2">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906</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6" t="str">
        <f t="shared" ca="1" si="1"/>
        <v/>
      </c>
    </row>
    <row r="32" spans="1:47" s="58" customFormat="1" x14ac:dyDescent="0.2">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6" t="str">
        <f t="shared" ca="1" si="1"/>
        <v/>
      </c>
    </row>
    <row r="33" spans="1:47" s="58" customFormat="1" x14ac:dyDescent="0.2">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907</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6" t="str">
        <f t="shared" ca="1" si="1"/>
        <v/>
      </c>
    </row>
    <row r="34" spans="1:47" s="58" customFormat="1" x14ac:dyDescent="0.2">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6" t="str">
        <f t="shared" ca="1" si="1"/>
        <v/>
      </c>
    </row>
    <row r="35" spans="1:47" s="58" customFormat="1" x14ac:dyDescent="0.2">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1585</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6" t="str">
        <f t="shared" ca="1" si="1"/>
        <v/>
      </c>
    </row>
    <row r="36" spans="1:47" s="58" customFormat="1" x14ac:dyDescent="0.2">
      <c r="K36" s="59"/>
      <c r="L36" t="s">
        <v>1586</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6"/>
    </row>
    <row r="37" spans="1:47" s="58" customFormat="1" x14ac:dyDescent="0.2">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908</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6" t="str">
        <f t="shared" ca="1" si="1"/>
        <v/>
      </c>
    </row>
    <row r="38" spans="1:47" s="58" customFormat="1" x14ac:dyDescent="0.2">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6" t="str">
        <f t="shared" ca="1" si="1"/>
        <v/>
      </c>
    </row>
    <row r="39" spans="1:47" s="58" customFormat="1" x14ac:dyDescent="0.2">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6" t="str">
        <f t="shared" ca="1" si="1"/>
        <v/>
      </c>
    </row>
    <row r="40" spans="1:47" s="58" customFormat="1" x14ac:dyDescent="0.2">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6" t="str">
        <f t="shared" ca="1" si="1"/>
        <v/>
      </c>
    </row>
    <row r="41" spans="1:47" s="58" customFormat="1" x14ac:dyDescent="0.2">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1249</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6" t="str">
        <f t="shared" ca="1" si="1"/>
        <v/>
      </c>
    </row>
    <row r="42" spans="1:47" s="58" customFormat="1" x14ac:dyDescent="0.2">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6" t="str">
        <f t="shared" ca="1" si="1"/>
        <v/>
      </c>
    </row>
    <row r="43" spans="1:47" s="58" customFormat="1" x14ac:dyDescent="0.2">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905</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6" t="str">
        <f t="shared" ca="1" si="1"/>
        <v/>
      </c>
    </row>
    <row r="44" spans="1:47" s="58" customFormat="1" x14ac:dyDescent="0.2">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6" t="str">
        <f t="shared" ca="1" si="1"/>
        <v/>
      </c>
    </row>
    <row r="45" spans="1:47" s="58" customFormat="1" x14ac:dyDescent="0.2">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1250</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6" t="str">
        <f t="shared" ca="1" si="1"/>
        <v/>
      </c>
    </row>
    <row r="46" spans="1:47" s="58" customFormat="1" x14ac:dyDescent="0.2">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899</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6" t="str">
        <f t="shared" ca="1" si="1"/>
        <v/>
      </c>
    </row>
    <row r="47" spans="1:47" s="58" customFormat="1" x14ac:dyDescent="0.2">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900</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6" t="str">
        <f t="shared" ca="1" si="1"/>
        <v/>
      </c>
    </row>
    <row r="48" spans="1:47" s="58" customFormat="1" x14ac:dyDescent="0.2">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1251</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6" t="str">
        <f t="shared" ca="1" si="1"/>
        <v/>
      </c>
    </row>
    <row r="49" spans="1:48" s="58" customFormat="1" x14ac:dyDescent="0.2">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892</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6" t="str">
        <f t="shared" ca="1" si="1"/>
        <v/>
      </c>
    </row>
    <row r="50" spans="1:48" s="58" customFormat="1" x14ac:dyDescent="0.2">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894</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6" t="str">
        <f t="shared" ca="1" si="1"/>
        <v/>
      </c>
    </row>
    <row r="51" spans="1:48" s="58" customFormat="1" x14ac:dyDescent="0.2">
      <c r="F51" s="58" t="str">
        <f t="shared" ca="1" si="0"/>
        <v/>
      </c>
      <c r="H51" s="58">
        <v>49</v>
      </c>
      <c r="L51" t="s">
        <v>896</v>
      </c>
      <c r="AG51" s="64"/>
      <c r="AU51" s="106" t="str">
        <f t="shared" ca="1" si="1"/>
        <v/>
      </c>
    </row>
    <row r="52" spans="1:48" x14ac:dyDescent="0.2">
      <c r="F52" s="58" t="str">
        <f t="shared" ca="1" si="0"/>
        <v/>
      </c>
      <c r="H52" s="58">
        <v>50</v>
      </c>
      <c r="I52" s="58"/>
      <c r="J52" s="58"/>
      <c r="L52" s="40" t="s">
        <v>1252</v>
      </c>
      <c r="AU52" s="106" t="str">
        <f t="shared" ca="1" si="1"/>
        <v/>
      </c>
      <c r="AV52" s="58"/>
    </row>
    <row r="53" spans="1:48" x14ac:dyDescent="0.2">
      <c r="F53" s="58" t="str">
        <f t="shared" ca="1" si="0"/>
        <v/>
      </c>
      <c r="H53" s="58">
        <v>51</v>
      </c>
      <c r="I53" s="58"/>
      <c r="J53" s="58"/>
      <c r="L53" t="s">
        <v>895</v>
      </c>
      <c r="AU53" s="106" t="str">
        <f t="shared" ca="1" si="1"/>
        <v/>
      </c>
      <c r="AV53" s="58"/>
    </row>
    <row r="54" spans="1:48" x14ac:dyDescent="0.2">
      <c r="F54" s="58" t="str">
        <f t="shared" ca="1" si="0"/>
        <v/>
      </c>
      <c r="H54" s="58">
        <v>52</v>
      </c>
      <c r="I54" s="58"/>
      <c r="J54" s="58"/>
      <c r="L54" t="s">
        <v>893</v>
      </c>
      <c r="AU54" s="106" t="str">
        <f t="shared" ca="1" si="1"/>
        <v/>
      </c>
      <c r="AV54" s="58"/>
    </row>
    <row r="55" spans="1:48" x14ac:dyDescent="0.2">
      <c r="F55" s="58" t="str">
        <f t="shared" ca="1" si="0"/>
        <v/>
      </c>
      <c r="H55" s="58">
        <v>53</v>
      </c>
      <c r="I55" s="58"/>
      <c r="J55" s="58"/>
      <c r="L55" s="64" t="s">
        <v>4</v>
      </c>
      <c r="AU55" s="106" t="str">
        <f t="shared" ca="1" si="1"/>
        <v/>
      </c>
      <c r="AV55" s="58"/>
    </row>
    <row r="56" spans="1:48" x14ac:dyDescent="0.2">
      <c r="F56" s="58" t="str">
        <f t="shared" ca="1" si="0"/>
        <v/>
      </c>
      <c r="H56" s="58">
        <v>54</v>
      </c>
      <c r="I56" s="58"/>
      <c r="J56" s="58"/>
      <c r="AU56" s="106" t="str">
        <f t="shared" ca="1" si="1"/>
        <v/>
      </c>
      <c r="AV56" s="58"/>
    </row>
    <row r="57" spans="1:48" x14ac:dyDescent="0.2">
      <c r="F57" s="58" t="str">
        <f t="shared" ca="1" si="0"/>
        <v/>
      </c>
      <c r="H57" s="58">
        <v>55</v>
      </c>
      <c r="I57" s="58"/>
      <c r="J57" s="58"/>
      <c r="AU57" s="106" t="str">
        <f t="shared" ca="1" si="1"/>
        <v/>
      </c>
      <c r="AV57" s="58"/>
    </row>
    <row r="58" spans="1:48" x14ac:dyDescent="0.2">
      <c r="F58" s="58" t="str">
        <f t="shared" ca="1" si="0"/>
        <v/>
      </c>
      <c r="H58" s="58">
        <v>56</v>
      </c>
      <c r="I58" s="58"/>
      <c r="J58" s="58"/>
      <c r="AU58" s="106" t="str">
        <f t="shared" ca="1" si="1"/>
        <v/>
      </c>
      <c r="AV58" s="58"/>
    </row>
    <row r="59" spans="1:48" x14ac:dyDescent="0.2">
      <c r="F59" s="58" t="str">
        <f t="shared" ca="1" si="0"/>
        <v/>
      </c>
      <c r="H59" s="58">
        <v>57</v>
      </c>
      <c r="I59" s="58"/>
      <c r="J59" s="58"/>
      <c r="AU59" s="106" t="str">
        <f t="shared" ca="1" si="1"/>
        <v/>
      </c>
      <c r="AV59" s="58"/>
    </row>
    <row r="60" spans="1:48" x14ac:dyDescent="0.2">
      <c r="F60" s="58" t="str">
        <f t="shared" ca="1" si="0"/>
        <v/>
      </c>
      <c r="H60" s="58">
        <v>58</v>
      </c>
      <c r="I60" s="58"/>
      <c r="J60" s="58"/>
      <c r="AU60" s="106" t="str">
        <f t="shared" ca="1" si="1"/>
        <v/>
      </c>
      <c r="AV60" s="58"/>
    </row>
    <row r="61" spans="1:48" x14ac:dyDescent="0.2">
      <c r="F61" s="58" t="str">
        <f t="shared" ca="1" si="0"/>
        <v/>
      </c>
      <c r="H61" s="58">
        <v>59</v>
      </c>
      <c r="I61" s="58"/>
      <c r="J61" s="58"/>
      <c r="AU61" s="106" t="str">
        <f t="shared" ca="1" si="1"/>
        <v/>
      </c>
      <c r="AV61" s="58"/>
    </row>
    <row r="62" spans="1:48" x14ac:dyDescent="0.2">
      <c r="F62" s="58" t="str">
        <f t="shared" ca="1" si="0"/>
        <v/>
      </c>
      <c r="H62" s="58">
        <v>60</v>
      </c>
      <c r="I62" s="58"/>
      <c r="J62" s="58"/>
      <c r="AU62" s="106" t="str">
        <f t="shared" ca="1" si="1"/>
        <v/>
      </c>
      <c r="AV62" s="58"/>
    </row>
    <row r="63" spans="1:48" x14ac:dyDescent="0.2">
      <c r="F63" s="58" t="str">
        <f t="shared" ca="1" si="0"/>
        <v/>
      </c>
      <c r="H63" s="58">
        <v>61</v>
      </c>
      <c r="I63" s="58"/>
      <c r="J63" s="58"/>
      <c r="AU63" s="106" t="str">
        <f t="shared" ca="1" si="1"/>
        <v/>
      </c>
      <c r="AV63" s="58"/>
    </row>
    <row r="64" spans="1:48" x14ac:dyDescent="0.2">
      <c r="F64" s="58" t="str">
        <f t="shared" ca="1" si="0"/>
        <v/>
      </c>
      <c r="H64" s="58">
        <v>62</v>
      </c>
      <c r="I64" s="58"/>
      <c r="J64" s="58"/>
      <c r="AU64" s="106" t="str">
        <f t="shared" ca="1" si="1"/>
        <v/>
      </c>
      <c r="AV64" s="58"/>
    </row>
    <row r="65" spans="6:48" x14ac:dyDescent="0.2">
      <c r="F65" s="58" t="str">
        <f t="shared" ca="1" si="0"/>
        <v/>
      </c>
      <c r="H65" s="58">
        <v>63</v>
      </c>
      <c r="I65" s="58"/>
      <c r="J65" s="58"/>
      <c r="AU65" s="106" t="str">
        <f t="shared" ca="1" si="1"/>
        <v/>
      </c>
      <c r="AV65" s="58"/>
    </row>
    <row r="66" spans="6:48" x14ac:dyDescent="0.2">
      <c r="F66" s="58" t="str">
        <f t="shared" ca="1" si="0"/>
        <v/>
      </c>
      <c r="H66" s="58">
        <v>64</v>
      </c>
      <c r="I66" s="58"/>
      <c r="J66" s="58"/>
      <c r="AU66" s="106" t="str">
        <f t="shared" ca="1" si="1"/>
        <v/>
      </c>
      <c r="AV66" s="58"/>
    </row>
    <row r="67" spans="6:48" x14ac:dyDescent="0.2">
      <c r="F67" s="58" t="str">
        <f t="shared" ca="1" si="0"/>
        <v/>
      </c>
      <c r="H67" s="58">
        <v>65</v>
      </c>
      <c r="I67" s="58"/>
      <c r="J67" s="58"/>
      <c r="AU67" s="106" t="str">
        <f t="shared" ca="1" si="1"/>
        <v/>
      </c>
      <c r="AV67" s="58"/>
    </row>
    <row r="68" spans="6:48" x14ac:dyDescent="0.2">
      <c r="F68" s="58" t="str">
        <f t="shared" ref="F68:F131" ca="1" si="2">_xlfn.IFNA(IF($H68+1&gt;$G$2,"",INDEX(INDIRECT("SubnetsVLANs!$D$"&amp;$H68+2&amp;":$D$"&amp;$G$2),MATCH("vlan*",INDIRECT("SubnetsVLANs!$E$"&amp;$H68+2&amp;":$E$"&amp;$G$2),0))),"")</f>
        <v/>
      </c>
      <c r="H68" s="58">
        <v>66</v>
      </c>
      <c r="I68" s="58"/>
      <c r="J68" s="58"/>
      <c r="AU68" s="106" t="str">
        <f t="shared" ref="AU68:AU131" ca="1" si="3">_xlfn.IFNA(IF($H68+1&gt;$G$2,"",INDEX(INDIRECT("SubnetsVLANs!$D$"&amp;$H68+2&amp;":$D$"&amp;$G$2),MATCH("Subnet*",INDIRECT("SubnetsVLANs!$E$"&amp;$H68+2&amp;":$E$"&amp;$G$2),0))),"")</f>
        <v/>
      </c>
      <c r="AV68" s="58"/>
    </row>
    <row r="69" spans="6:48" x14ac:dyDescent="0.2">
      <c r="F69" s="58" t="str">
        <f t="shared" ca="1" si="2"/>
        <v/>
      </c>
      <c r="H69" s="58">
        <v>67</v>
      </c>
      <c r="I69" s="58"/>
      <c r="J69" s="58"/>
      <c r="AU69" s="106" t="str">
        <f t="shared" ca="1" si="3"/>
        <v/>
      </c>
      <c r="AV69" s="58"/>
    </row>
    <row r="70" spans="6:48" x14ac:dyDescent="0.2">
      <c r="F70" s="58" t="str">
        <f t="shared" ca="1" si="2"/>
        <v/>
      </c>
      <c r="H70" s="58">
        <v>68</v>
      </c>
      <c r="I70" s="58"/>
      <c r="J70" s="58"/>
      <c r="AU70" s="106" t="str">
        <f t="shared" ca="1" si="3"/>
        <v/>
      </c>
      <c r="AV70" s="58"/>
    </row>
    <row r="71" spans="6:48" x14ac:dyDescent="0.2">
      <c r="F71" s="58" t="str">
        <f t="shared" ca="1" si="2"/>
        <v/>
      </c>
      <c r="H71" s="58">
        <v>69</v>
      </c>
      <c r="I71" s="58"/>
      <c r="J71" s="58"/>
      <c r="AU71" s="106" t="str">
        <f t="shared" ca="1" si="3"/>
        <v/>
      </c>
      <c r="AV71" s="58"/>
    </row>
    <row r="72" spans="6:48" x14ac:dyDescent="0.2">
      <c r="F72" s="58" t="str">
        <f t="shared" ca="1" si="2"/>
        <v/>
      </c>
      <c r="H72" s="58">
        <v>70</v>
      </c>
      <c r="I72" s="58"/>
      <c r="J72" s="58"/>
      <c r="AU72" s="106" t="str">
        <f t="shared" ca="1" si="3"/>
        <v/>
      </c>
      <c r="AV72" s="58"/>
    </row>
    <row r="73" spans="6:48" x14ac:dyDescent="0.2">
      <c r="F73" s="58" t="str">
        <f t="shared" ca="1" si="2"/>
        <v/>
      </c>
      <c r="H73" s="58">
        <v>71</v>
      </c>
      <c r="I73" s="58"/>
      <c r="J73" s="58"/>
      <c r="AU73" s="106" t="str">
        <f t="shared" ca="1" si="3"/>
        <v/>
      </c>
      <c r="AV73" s="58"/>
    </row>
    <row r="74" spans="6:48" x14ac:dyDescent="0.2">
      <c r="F74" s="58" t="str">
        <f t="shared" ca="1" si="2"/>
        <v/>
      </c>
      <c r="H74" s="58">
        <v>72</v>
      </c>
      <c r="I74" s="58"/>
      <c r="J74" s="58"/>
      <c r="AU74" s="106" t="str">
        <f t="shared" ca="1" si="3"/>
        <v/>
      </c>
      <c r="AV74" s="58"/>
    </row>
    <row r="75" spans="6:48" x14ac:dyDescent="0.2">
      <c r="F75" s="58" t="str">
        <f t="shared" ca="1" si="2"/>
        <v/>
      </c>
      <c r="H75" s="58">
        <v>73</v>
      </c>
      <c r="I75" s="58"/>
      <c r="J75" s="58"/>
      <c r="AU75" s="106" t="str">
        <f t="shared" ca="1" si="3"/>
        <v/>
      </c>
      <c r="AV75" s="58"/>
    </row>
    <row r="76" spans="6:48" x14ac:dyDescent="0.2">
      <c r="F76" s="58" t="str">
        <f t="shared" ca="1" si="2"/>
        <v/>
      </c>
      <c r="H76" s="58">
        <v>74</v>
      </c>
      <c r="I76" s="58"/>
      <c r="J76" s="58"/>
      <c r="AU76" s="106" t="str">
        <f t="shared" ca="1" si="3"/>
        <v/>
      </c>
      <c r="AV76" s="58"/>
    </row>
    <row r="77" spans="6:48" x14ac:dyDescent="0.2">
      <c r="F77" s="58" t="str">
        <f t="shared" ca="1" si="2"/>
        <v/>
      </c>
      <c r="H77" s="58">
        <v>75</v>
      </c>
      <c r="I77" s="58"/>
      <c r="J77" s="58"/>
      <c r="AU77" s="106" t="str">
        <f t="shared" ca="1" si="3"/>
        <v/>
      </c>
      <c r="AV77" s="58"/>
    </row>
    <row r="78" spans="6:48" x14ac:dyDescent="0.2">
      <c r="F78" s="58" t="str">
        <f t="shared" ca="1" si="2"/>
        <v/>
      </c>
      <c r="H78" s="58">
        <v>76</v>
      </c>
      <c r="I78" s="58"/>
      <c r="J78" s="58"/>
      <c r="AU78" s="106" t="str">
        <f t="shared" ca="1" si="3"/>
        <v/>
      </c>
      <c r="AV78" s="58"/>
    </row>
    <row r="79" spans="6:48" x14ac:dyDescent="0.2">
      <c r="F79" s="58" t="str">
        <f t="shared" ca="1" si="2"/>
        <v/>
      </c>
      <c r="H79" s="58">
        <v>77</v>
      </c>
      <c r="I79" s="58"/>
      <c r="J79" s="58"/>
      <c r="AU79" s="106" t="str">
        <f t="shared" ca="1" si="3"/>
        <v/>
      </c>
      <c r="AV79" s="58"/>
    </row>
    <row r="80" spans="6:48" x14ac:dyDescent="0.2">
      <c r="F80" s="58" t="str">
        <f t="shared" ca="1" si="2"/>
        <v/>
      </c>
      <c r="H80" s="58">
        <v>78</v>
      </c>
      <c r="I80" s="58"/>
      <c r="J80" s="58"/>
      <c r="AU80" s="106" t="str">
        <f t="shared" ca="1" si="3"/>
        <v/>
      </c>
      <c r="AV80" s="58"/>
    </row>
    <row r="81" spans="6:48" x14ac:dyDescent="0.2">
      <c r="F81" s="58" t="str">
        <f t="shared" ca="1" si="2"/>
        <v/>
      </c>
      <c r="H81" s="58">
        <v>79</v>
      </c>
      <c r="I81" s="58"/>
      <c r="J81" s="58"/>
      <c r="AU81" s="106" t="str">
        <f t="shared" ca="1" si="3"/>
        <v/>
      </c>
      <c r="AV81" s="58"/>
    </row>
    <row r="82" spans="6:48" x14ac:dyDescent="0.2">
      <c r="F82" s="58" t="str">
        <f t="shared" ca="1" si="2"/>
        <v/>
      </c>
      <c r="H82" s="58">
        <v>80</v>
      </c>
      <c r="I82" s="58"/>
      <c r="J82" s="58"/>
      <c r="AU82" s="106" t="str">
        <f t="shared" ca="1" si="3"/>
        <v/>
      </c>
      <c r="AV82" s="58"/>
    </row>
    <row r="83" spans="6:48" x14ac:dyDescent="0.2">
      <c r="F83" s="58" t="str">
        <f t="shared" ca="1" si="2"/>
        <v/>
      </c>
      <c r="H83" s="58">
        <v>81</v>
      </c>
      <c r="I83" s="58"/>
      <c r="J83" s="58"/>
      <c r="AU83" s="106" t="str">
        <f t="shared" ca="1" si="3"/>
        <v/>
      </c>
      <c r="AV83" s="58"/>
    </row>
    <row r="84" spans="6:48" x14ac:dyDescent="0.2">
      <c r="F84" s="58" t="str">
        <f t="shared" ca="1" si="2"/>
        <v/>
      </c>
      <c r="H84" s="58">
        <v>82</v>
      </c>
      <c r="I84" s="58"/>
      <c r="J84" s="58"/>
      <c r="AU84" s="106" t="str">
        <f t="shared" ca="1" si="3"/>
        <v/>
      </c>
      <c r="AV84" s="58"/>
    </row>
    <row r="85" spans="6:48" x14ac:dyDescent="0.2">
      <c r="F85" s="58" t="str">
        <f t="shared" ca="1" si="2"/>
        <v/>
      </c>
      <c r="H85" s="58">
        <v>83</v>
      </c>
      <c r="I85" s="58"/>
      <c r="J85" s="58"/>
      <c r="AU85" s="106" t="str">
        <f t="shared" ca="1" si="3"/>
        <v/>
      </c>
      <c r="AV85" s="58"/>
    </row>
    <row r="86" spans="6:48" x14ac:dyDescent="0.2">
      <c r="F86" s="58" t="str">
        <f t="shared" ca="1" si="2"/>
        <v/>
      </c>
      <c r="H86" s="58">
        <v>84</v>
      </c>
      <c r="I86" s="58"/>
      <c r="J86" s="58"/>
      <c r="AU86" s="106" t="str">
        <f t="shared" ca="1" si="3"/>
        <v/>
      </c>
      <c r="AV86" s="58"/>
    </row>
    <row r="87" spans="6:48" x14ac:dyDescent="0.2">
      <c r="F87" s="58" t="str">
        <f t="shared" ca="1" si="2"/>
        <v/>
      </c>
      <c r="H87" s="58">
        <v>85</v>
      </c>
      <c r="I87" s="58"/>
      <c r="J87" s="58"/>
      <c r="AU87" s="106" t="str">
        <f t="shared" ca="1" si="3"/>
        <v/>
      </c>
      <c r="AV87" s="58"/>
    </row>
    <row r="88" spans="6:48" x14ac:dyDescent="0.2">
      <c r="F88" s="58" t="str">
        <f t="shared" ca="1" si="2"/>
        <v/>
      </c>
      <c r="H88" s="58">
        <v>86</v>
      </c>
      <c r="I88" s="58"/>
      <c r="J88" s="58"/>
      <c r="AU88" s="106" t="str">
        <f t="shared" ca="1" si="3"/>
        <v/>
      </c>
      <c r="AV88" s="58"/>
    </row>
    <row r="89" spans="6:48" x14ac:dyDescent="0.2">
      <c r="F89" s="58" t="str">
        <f t="shared" ca="1" si="2"/>
        <v/>
      </c>
      <c r="H89" s="58">
        <v>87</v>
      </c>
      <c r="I89" s="58"/>
      <c r="J89" s="58"/>
      <c r="AU89" s="106" t="str">
        <f t="shared" ca="1" si="3"/>
        <v/>
      </c>
      <c r="AV89" s="58"/>
    </row>
    <row r="90" spans="6:48" x14ac:dyDescent="0.2">
      <c r="F90" s="58" t="str">
        <f t="shared" ca="1" si="2"/>
        <v/>
      </c>
      <c r="H90" s="58">
        <v>88</v>
      </c>
      <c r="I90" s="58"/>
      <c r="J90" s="58"/>
      <c r="AU90" s="106" t="str">
        <f t="shared" ca="1" si="3"/>
        <v/>
      </c>
      <c r="AV90" s="58"/>
    </row>
    <row r="91" spans="6:48" x14ac:dyDescent="0.2">
      <c r="F91" s="58" t="str">
        <f t="shared" ca="1" si="2"/>
        <v/>
      </c>
      <c r="H91" s="58">
        <v>89</v>
      </c>
      <c r="I91" s="58"/>
      <c r="J91" s="58"/>
      <c r="AU91" s="106" t="str">
        <f t="shared" ca="1" si="3"/>
        <v/>
      </c>
      <c r="AV91" s="58"/>
    </row>
    <row r="92" spans="6:48" x14ac:dyDescent="0.2">
      <c r="F92" s="58" t="str">
        <f t="shared" ca="1" si="2"/>
        <v/>
      </c>
      <c r="H92" s="58">
        <v>90</v>
      </c>
      <c r="I92" s="58"/>
      <c r="J92" s="58"/>
      <c r="AU92" s="106" t="str">
        <f t="shared" ca="1" si="3"/>
        <v/>
      </c>
      <c r="AV92" s="58"/>
    </row>
    <row r="93" spans="6:48" x14ac:dyDescent="0.2">
      <c r="F93" s="58" t="str">
        <f t="shared" ca="1" si="2"/>
        <v/>
      </c>
      <c r="H93" s="58">
        <v>91</v>
      </c>
      <c r="I93" s="58"/>
      <c r="J93" s="58"/>
      <c r="AU93" s="106" t="str">
        <f t="shared" ca="1" si="3"/>
        <v/>
      </c>
      <c r="AV93" s="58"/>
    </row>
    <row r="94" spans="6:48" x14ac:dyDescent="0.2">
      <c r="F94" s="58" t="str">
        <f t="shared" ca="1" si="2"/>
        <v/>
      </c>
      <c r="H94" s="58">
        <v>92</v>
      </c>
      <c r="I94" s="58"/>
      <c r="J94" s="58"/>
      <c r="AU94" s="106" t="str">
        <f t="shared" ca="1" si="3"/>
        <v/>
      </c>
      <c r="AV94" s="58"/>
    </row>
    <row r="95" spans="6:48" x14ac:dyDescent="0.2">
      <c r="F95" s="58" t="str">
        <f t="shared" ca="1" si="2"/>
        <v/>
      </c>
      <c r="H95" s="58">
        <v>93</v>
      </c>
      <c r="I95" s="58"/>
      <c r="J95" s="58"/>
      <c r="AU95" s="106" t="str">
        <f t="shared" ca="1" si="3"/>
        <v/>
      </c>
      <c r="AV95" s="58"/>
    </row>
    <row r="96" spans="6:48" x14ac:dyDescent="0.2">
      <c r="F96" s="58" t="str">
        <f t="shared" ca="1" si="2"/>
        <v/>
      </c>
      <c r="H96" s="58">
        <v>94</v>
      </c>
      <c r="I96" s="58"/>
      <c r="J96" s="58"/>
      <c r="AU96" s="106" t="str">
        <f t="shared" ca="1" si="3"/>
        <v/>
      </c>
      <c r="AV96" s="58"/>
    </row>
    <row r="97" spans="6:48" x14ac:dyDescent="0.2">
      <c r="F97" s="58" t="str">
        <f t="shared" ca="1" si="2"/>
        <v/>
      </c>
      <c r="H97" s="58">
        <v>95</v>
      </c>
      <c r="I97" s="58"/>
      <c r="J97" s="58"/>
      <c r="AU97" s="106" t="str">
        <f t="shared" ca="1" si="3"/>
        <v/>
      </c>
      <c r="AV97" s="58"/>
    </row>
    <row r="98" spans="6:48" x14ac:dyDescent="0.2">
      <c r="F98" s="58" t="str">
        <f t="shared" ca="1" si="2"/>
        <v/>
      </c>
      <c r="H98" s="58">
        <v>96</v>
      </c>
      <c r="I98" s="58"/>
      <c r="J98" s="58"/>
      <c r="AU98" s="106" t="str">
        <f t="shared" ca="1" si="3"/>
        <v/>
      </c>
      <c r="AV98" s="58"/>
    </row>
    <row r="99" spans="6:48" x14ac:dyDescent="0.2">
      <c r="F99" s="58" t="str">
        <f t="shared" ca="1" si="2"/>
        <v/>
      </c>
      <c r="H99" s="58">
        <v>97</v>
      </c>
      <c r="I99" s="58"/>
      <c r="J99" s="58"/>
      <c r="AU99" s="106" t="str">
        <f t="shared" ca="1" si="3"/>
        <v/>
      </c>
      <c r="AV99" s="58"/>
    </row>
    <row r="100" spans="6:48" x14ac:dyDescent="0.2">
      <c r="F100" s="58" t="str">
        <f t="shared" ca="1" si="2"/>
        <v/>
      </c>
      <c r="H100" s="58">
        <v>98</v>
      </c>
      <c r="I100" s="58"/>
      <c r="J100" s="58"/>
      <c r="AU100" s="106" t="str">
        <f t="shared" ca="1" si="3"/>
        <v/>
      </c>
      <c r="AV100" s="58"/>
    </row>
    <row r="101" spans="6:48" x14ac:dyDescent="0.2">
      <c r="F101" s="58" t="str">
        <f t="shared" ca="1" si="2"/>
        <v/>
      </c>
      <c r="H101" s="58">
        <v>99</v>
      </c>
      <c r="I101" s="58"/>
      <c r="J101" s="58"/>
      <c r="AU101" s="106" t="str">
        <f t="shared" ca="1" si="3"/>
        <v/>
      </c>
      <c r="AV101" s="58"/>
    </row>
    <row r="102" spans="6:48" x14ac:dyDescent="0.2">
      <c r="F102" s="58" t="str">
        <f t="shared" ca="1" si="2"/>
        <v/>
      </c>
      <c r="H102" s="58">
        <v>100</v>
      </c>
      <c r="I102" s="58"/>
      <c r="J102" s="58"/>
      <c r="AU102" s="106" t="str">
        <f t="shared" ca="1" si="3"/>
        <v/>
      </c>
      <c r="AV102" s="58"/>
    </row>
    <row r="103" spans="6:48" x14ac:dyDescent="0.2">
      <c r="F103" s="58" t="str">
        <f t="shared" ca="1" si="2"/>
        <v/>
      </c>
      <c r="H103" s="58">
        <v>101</v>
      </c>
      <c r="I103" s="58"/>
      <c r="J103" s="58"/>
      <c r="AU103" s="106" t="str">
        <f t="shared" ca="1" si="3"/>
        <v/>
      </c>
      <c r="AV103" s="58"/>
    </row>
    <row r="104" spans="6:48" x14ac:dyDescent="0.2">
      <c r="F104" s="58" t="str">
        <f t="shared" ca="1" si="2"/>
        <v/>
      </c>
      <c r="H104" s="58">
        <v>102</v>
      </c>
      <c r="I104" s="58"/>
      <c r="J104" s="58"/>
      <c r="AU104" s="106" t="str">
        <f t="shared" ca="1" si="3"/>
        <v/>
      </c>
      <c r="AV104" s="58"/>
    </row>
    <row r="105" spans="6:48" x14ac:dyDescent="0.2">
      <c r="F105" s="58" t="str">
        <f t="shared" ca="1" si="2"/>
        <v/>
      </c>
      <c r="H105" s="58">
        <v>103</v>
      </c>
      <c r="I105" s="58"/>
      <c r="J105" s="58"/>
      <c r="AU105" s="106" t="str">
        <f t="shared" ca="1" si="3"/>
        <v/>
      </c>
      <c r="AV105" s="58"/>
    </row>
    <row r="106" spans="6:48" x14ac:dyDescent="0.2">
      <c r="F106" s="58" t="str">
        <f t="shared" ca="1" si="2"/>
        <v/>
      </c>
      <c r="H106" s="58">
        <v>104</v>
      </c>
      <c r="I106" s="58"/>
      <c r="J106" s="58"/>
      <c r="AU106" s="106" t="str">
        <f t="shared" ca="1" si="3"/>
        <v/>
      </c>
      <c r="AV106" s="58"/>
    </row>
    <row r="107" spans="6:48" x14ac:dyDescent="0.2">
      <c r="F107" s="58" t="str">
        <f t="shared" ca="1" si="2"/>
        <v/>
      </c>
      <c r="H107" s="58">
        <v>105</v>
      </c>
      <c r="I107" s="58"/>
      <c r="J107" s="58"/>
      <c r="AU107" s="106" t="str">
        <f t="shared" ca="1" si="3"/>
        <v/>
      </c>
      <c r="AV107" s="58"/>
    </row>
    <row r="108" spans="6:48" x14ac:dyDescent="0.2">
      <c r="F108" s="58" t="str">
        <f t="shared" ca="1" si="2"/>
        <v/>
      </c>
      <c r="H108" s="58">
        <v>106</v>
      </c>
      <c r="I108" s="58"/>
      <c r="J108" s="58"/>
      <c r="AU108" s="106" t="str">
        <f t="shared" ca="1" si="3"/>
        <v/>
      </c>
      <c r="AV108" s="58"/>
    </row>
    <row r="109" spans="6:48" x14ac:dyDescent="0.2">
      <c r="F109" s="58" t="str">
        <f t="shared" ca="1" si="2"/>
        <v/>
      </c>
      <c r="H109" s="58">
        <v>107</v>
      </c>
      <c r="I109" s="58"/>
      <c r="J109" s="58"/>
      <c r="AU109" s="106" t="str">
        <f t="shared" ca="1" si="3"/>
        <v/>
      </c>
      <c r="AV109" s="58"/>
    </row>
    <row r="110" spans="6:48" x14ac:dyDescent="0.2">
      <c r="F110" s="58" t="str">
        <f t="shared" ca="1" si="2"/>
        <v/>
      </c>
      <c r="H110" s="58">
        <v>108</v>
      </c>
      <c r="I110" s="58"/>
      <c r="J110" s="58"/>
      <c r="AU110" s="106" t="str">
        <f t="shared" ca="1" si="3"/>
        <v/>
      </c>
      <c r="AV110" s="58"/>
    </row>
    <row r="111" spans="6:48" x14ac:dyDescent="0.2">
      <c r="F111" s="58" t="str">
        <f t="shared" ca="1" si="2"/>
        <v/>
      </c>
      <c r="H111" s="58">
        <v>109</v>
      </c>
      <c r="I111" s="58"/>
      <c r="J111" s="58"/>
      <c r="AU111" s="106" t="str">
        <f t="shared" ca="1" si="3"/>
        <v/>
      </c>
      <c r="AV111" s="58"/>
    </row>
    <row r="112" spans="6:48" x14ac:dyDescent="0.2">
      <c r="F112" s="58" t="str">
        <f t="shared" ca="1" si="2"/>
        <v/>
      </c>
      <c r="H112" s="58">
        <v>110</v>
      </c>
      <c r="I112" s="58"/>
      <c r="J112" s="58"/>
      <c r="AU112" s="106" t="str">
        <f t="shared" ca="1" si="3"/>
        <v/>
      </c>
      <c r="AV112" s="58"/>
    </row>
    <row r="113" spans="6:48" x14ac:dyDescent="0.2">
      <c r="F113" s="58" t="str">
        <f t="shared" ca="1" si="2"/>
        <v/>
      </c>
      <c r="H113" s="58">
        <v>111</v>
      </c>
      <c r="I113" s="58"/>
      <c r="J113" s="58"/>
      <c r="AU113" s="106" t="str">
        <f t="shared" ca="1" si="3"/>
        <v/>
      </c>
      <c r="AV113" s="58"/>
    </row>
    <row r="114" spans="6:48" x14ac:dyDescent="0.2">
      <c r="F114" s="58" t="str">
        <f t="shared" ca="1" si="2"/>
        <v/>
      </c>
      <c r="H114" s="58">
        <v>112</v>
      </c>
      <c r="I114" s="58"/>
      <c r="J114" s="58"/>
      <c r="AU114" s="106" t="str">
        <f t="shared" ca="1" si="3"/>
        <v/>
      </c>
      <c r="AV114" s="58"/>
    </row>
    <row r="115" spans="6:48" x14ac:dyDescent="0.2">
      <c r="F115" s="58" t="str">
        <f t="shared" ca="1" si="2"/>
        <v/>
      </c>
      <c r="H115" s="58">
        <v>113</v>
      </c>
      <c r="I115" s="58"/>
      <c r="J115" s="58"/>
      <c r="AU115" s="106" t="str">
        <f t="shared" ca="1" si="3"/>
        <v/>
      </c>
      <c r="AV115" s="58"/>
    </row>
    <row r="116" spans="6:48" x14ac:dyDescent="0.2">
      <c r="F116" s="58" t="str">
        <f t="shared" ca="1" si="2"/>
        <v/>
      </c>
      <c r="H116" s="58">
        <v>114</v>
      </c>
      <c r="I116" s="58"/>
      <c r="J116" s="58"/>
      <c r="AU116" s="106" t="str">
        <f t="shared" ca="1" si="3"/>
        <v/>
      </c>
      <c r="AV116" s="58"/>
    </row>
    <row r="117" spans="6:48" x14ac:dyDescent="0.2">
      <c r="F117" s="58" t="str">
        <f t="shared" ca="1" si="2"/>
        <v/>
      </c>
      <c r="H117" s="58">
        <v>115</v>
      </c>
      <c r="I117" s="58"/>
      <c r="J117" s="58"/>
      <c r="AU117" s="106" t="str">
        <f t="shared" ca="1" si="3"/>
        <v/>
      </c>
      <c r="AV117" s="58"/>
    </row>
    <row r="118" spans="6:48" x14ac:dyDescent="0.2">
      <c r="F118" s="58" t="str">
        <f t="shared" ca="1" si="2"/>
        <v/>
      </c>
      <c r="H118" s="58">
        <v>116</v>
      </c>
      <c r="I118" s="58"/>
      <c r="J118" s="58"/>
      <c r="AU118" s="106" t="str">
        <f t="shared" ca="1" si="3"/>
        <v/>
      </c>
      <c r="AV118" s="58"/>
    </row>
    <row r="119" spans="6:48" x14ac:dyDescent="0.2">
      <c r="F119" s="58" t="str">
        <f t="shared" ca="1" si="2"/>
        <v/>
      </c>
      <c r="H119" s="58">
        <v>117</v>
      </c>
      <c r="I119" s="58"/>
      <c r="J119" s="58"/>
      <c r="AU119" s="106" t="str">
        <f t="shared" ca="1" si="3"/>
        <v/>
      </c>
      <c r="AV119" s="58"/>
    </row>
    <row r="120" spans="6:48" x14ac:dyDescent="0.2">
      <c r="F120" s="58" t="str">
        <f t="shared" ca="1" si="2"/>
        <v/>
      </c>
      <c r="H120" s="58">
        <v>118</v>
      </c>
      <c r="I120" s="58"/>
      <c r="J120" s="58"/>
      <c r="AU120" s="106" t="str">
        <f t="shared" ca="1" si="3"/>
        <v/>
      </c>
      <c r="AV120" s="58"/>
    </row>
    <row r="121" spans="6:48" x14ac:dyDescent="0.2">
      <c r="F121" s="58" t="str">
        <f t="shared" ca="1" si="2"/>
        <v/>
      </c>
      <c r="H121" s="58">
        <v>119</v>
      </c>
      <c r="I121" s="58"/>
      <c r="J121" s="58"/>
      <c r="AU121" s="106" t="str">
        <f t="shared" ca="1" si="3"/>
        <v/>
      </c>
      <c r="AV121" s="58"/>
    </row>
    <row r="122" spans="6:48" x14ac:dyDescent="0.2">
      <c r="F122" s="58" t="str">
        <f t="shared" ca="1" si="2"/>
        <v/>
      </c>
      <c r="H122" s="58">
        <v>120</v>
      </c>
      <c r="I122" s="58"/>
      <c r="J122" s="58"/>
      <c r="AU122" s="106" t="str">
        <f t="shared" ca="1" si="3"/>
        <v/>
      </c>
      <c r="AV122" s="58"/>
    </row>
    <row r="123" spans="6:48" x14ac:dyDescent="0.2">
      <c r="F123" s="58" t="str">
        <f t="shared" ca="1" si="2"/>
        <v/>
      </c>
      <c r="H123" s="58">
        <v>121</v>
      </c>
      <c r="I123" s="58"/>
      <c r="J123" s="58"/>
      <c r="AU123" s="106" t="str">
        <f t="shared" ca="1" si="3"/>
        <v/>
      </c>
      <c r="AV123" s="58"/>
    </row>
    <row r="124" spans="6:48" x14ac:dyDescent="0.2">
      <c r="F124" s="58" t="str">
        <f t="shared" ca="1" si="2"/>
        <v/>
      </c>
      <c r="H124" s="58">
        <v>122</v>
      </c>
      <c r="I124" s="58"/>
      <c r="J124" s="58"/>
      <c r="AU124" s="106" t="str">
        <f t="shared" ca="1" si="3"/>
        <v/>
      </c>
      <c r="AV124" s="58"/>
    </row>
    <row r="125" spans="6:48" x14ac:dyDescent="0.2">
      <c r="F125" s="58" t="str">
        <f t="shared" ca="1" si="2"/>
        <v/>
      </c>
      <c r="H125" s="58">
        <v>123</v>
      </c>
      <c r="I125" s="58"/>
      <c r="J125" s="58"/>
      <c r="AU125" s="106" t="str">
        <f t="shared" ca="1" si="3"/>
        <v/>
      </c>
      <c r="AV125" s="58"/>
    </row>
    <row r="126" spans="6:48" x14ac:dyDescent="0.2">
      <c r="F126" s="58" t="str">
        <f t="shared" ca="1" si="2"/>
        <v/>
      </c>
      <c r="H126" s="58">
        <v>124</v>
      </c>
      <c r="I126" s="58"/>
      <c r="J126" s="58"/>
      <c r="AU126" s="106" t="str">
        <f t="shared" ca="1" si="3"/>
        <v/>
      </c>
      <c r="AV126" s="58"/>
    </row>
    <row r="127" spans="6:48" x14ac:dyDescent="0.2">
      <c r="F127" s="58" t="str">
        <f t="shared" ca="1" si="2"/>
        <v/>
      </c>
      <c r="H127" s="58">
        <v>125</v>
      </c>
      <c r="I127" s="58"/>
      <c r="J127" s="58"/>
      <c r="AU127" s="106" t="str">
        <f t="shared" ca="1" si="3"/>
        <v/>
      </c>
      <c r="AV127" s="58"/>
    </row>
    <row r="128" spans="6:48" x14ac:dyDescent="0.2">
      <c r="F128" s="58" t="str">
        <f t="shared" ca="1" si="2"/>
        <v/>
      </c>
      <c r="H128" s="58">
        <v>126</v>
      </c>
      <c r="I128" s="58"/>
      <c r="J128" s="58"/>
      <c r="AU128" s="106" t="str">
        <f t="shared" ca="1" si="3"/>
        <v/>
      </c>
      <c r="AV128" s="58"/>
    </row>
    <row r="129" spans="6:48" x14ac:dyDescent="0.2">
      <c r="F129" s="58" t="str">
        <f t="shared" ca="1" si="2"/>
        <v/>
      </c>
      <c r="H129" s="58">
        <v>127</v>
      </c>
      <c r="I129" s="58"/>
      <c r="J129" s="58"/>
      <c r="AU129" s="106" t="str">
        <f t="shared" ca="1" si="3"/>
        <v/>
      </c>
      <c r="AV129" s="58"/>
    </row>
    <row r="130" spans="6:48" x14ac:dyDescent="0.2">
      <c r="F130" s="58" t="str">
        <f t="shared" ca="1" si="2"/>
        <v/>
      </c>
      <c r="H130" s="58">
        <v>128</v>
      </c>
      <c r="I130" s="58"/>
      <c r="J130" s="58"/>
      <c r="AU130" s="106" t="str">
        <f t="shared" ca="1" si="3"/>
        <v/>
      </c>
      <c r="AV130" s="58"/>
    </row>
    <row r="131" spans="6:48" x14ac:dyDescent="0.2">
      <c r="F131" s="58" t="str">
        <f t="shared" ca="1" si="2"/>
        <v/>
      </c>
      <c r="H131" s="58">
        <v>129</v>
      </c>
      <c r="I131" s="58"/>
      <c r="J131" s="58"/>
      <c r="AU131" s="106" t="str">
        <f t="shared" ca="1" si="3"/>
        <v/>
      </c>
      <c r="AV131" s="58"/>
    </row>
    <row r="132" spans="6:48" x14ac:dyDescent="0.2">
      <c r="F132" s="58" t="str">
        <f t="shared" ref="F132:F195" ca="1" si="4">_xlfn.IFNA(IF($H132+1&gt;$G$2,"",INDEX(INDIRECT("SubnetsVLANs!$D$"&amp;$H132+2&amp;":$D$"&amp;$G$2),MATCH("vlan*",INDIRECT("SubnetsVLANs!$E$"&amp;$H132+2&amp;":$E$"&amp;$G$2),0))),"")</f>
        <v/>
      </c>
      <c r="H132" s="58">
        <v>130</v>
      </c>
      <c r="I132" s="58"/>
      <c r="J132" s="58"/>
      <c r="AU132" s="106" t="str">
        <f t="shared" ref="AU132:AU195" ca="1" si="5">_xlfn.IFNA(IF($H132+1&gt;$G$2,"",INDEX(INDIRECT("SubnetsVLANs!$D$"&amp;$H132+2&amp;":$D$"&amp;$G$2),MATCH("Subnet*",INDIRECT("SubnetsVLANs!$E$"&amp;$H132+2&amp;":$E$"&amp;$G$2),0))),"")</f>
        <v/>
      </c>
      <c r="AV132" s="58"/>
    </row>
    <row r="133" spans="6:48" x14ac:dyDescent="0.2">
      <c r="F133" s="58" t="str">
        <f t="shared" ca="1" si="4"/>
        <v/>
      </c>
      <c r="H133" s="58">
        <v>131</v>
      </c>
      <c r="I133" s="58"/>
      <c r="J133" s="58"/>
      <c r="AU133" s="106" t="str">
        <f t="shared" ca="1" si="5"/>
        <v/>
      </c>
      <c r="AV133" s="58"/>
    </row>
    <row r="134" spans="6:48" x14ac:dyDescent="0.2">
      <c r="F134" s="58" t="str">
        <f t="shared" ca="1" si="4"/>
        <v/>
      </c>
      <c r="H134" s="58">
        <v>132</v>
      </c>
      <c r="I134" s="58"/>
      <c r="J134" s="58"/>
      <c r="AU134" s="106" t="str">
        <f t="shared" ca="1" si="5"/>
        <v/>
      </c>
      <c r="AV134" s="58"/>
    </row>
    <row r="135" spans="6:48" x14ac:dyDescent="0.2">
      <c r="F135" s="58" t="str">
        <f t="shared" ca="1" si="4"/>
        <v/>
      </c>
      <c r="H135" s="58">
        <v>133</v>
      </c>
      <c r="I135" s="58"/>
      <c r="J135" s="58"/>
      <c r="AU135" s="106" t="str">
        <f t="shared" ca="1" si="5"/>
        <v/>
      </c>
      <c r="AV135" s="58"/>
    </row>
    <row r="136" spans="6:48" x14ac:dyDescent="0.2">
      <c r="F136" s="58" t="str">
        <f t="shared" ca="1" si="4"/>
        <v/>
      </c>
      <c r="H136" s="58">
        <v>134</v>
      </c>
      <c r="I136" s="58"/>
      <c r="J136" s="58"/>
      <c r="AU136" s="106" t="str">
        <f t="shared" ca="1" si="5"/>
        <v/>
      </c>
      <c r="AV136" s="58"/>
    </row>
    <row r="137" spans="6:48" x14ac:dyDescent="0.2">
      <c r="F137" s="58" t="str">
        <f t="shared" ca="1" si="4"/>
        <v/>
      </c>
      <c r="H137" s="58">
        <v>135</v>
      </c>
      <c r="I137" s="58"/>
      <c r="J137" s="58"/>
      <c r="AU137" s="106" t="str">
        <f t="shared" ca="1" si="5"/>
        <v/>
      </c>
      <c r="AV137" s="58"/>
    </row>
    <row r="138" spans="6:48" x14ac:dyDescent="0.2">
      <c r="F138" s="58" t="str">
        <f t="shared" ca="1" si="4"/>
        <v/>
      </c>
      <c r="H138" s="58">
        <v>136</v>
      </c>
      <c r="I138" s="58"/>
      <c r="J138" s="58"/>
      <c r="AU138" s="106" t="str">
        <f t="shared" ca="1" si="5"/>
        <v/>
      </c>
      <c r="AV138" s="58"/>
    </row>
    <row r="139" spans="6:48" x14ac:dyDescent="0.2">
      <c r="F139" s="58" t="str">
        <f t="shared" ca="1" si="4"/>
        <v/>
      </c>
      <c r="H139" s="58">
        <v>137</v>
      </c>
      <c r="I139" s="58"/>
      <c r="J139" s="58"/>
      <c r="AU139" s="106" t="str">
        <f t="shared" ca="1" si="5"/>
        <v/>
      </c>
      <c r="AV139" s="58"/>
    </row>
    <row r="140" spans="6:48" x14ac:dyDescent="0.2">
      <c r="F140" s="58" t="str">
        <f t="shared" ca="1" si="4"/>
        <v/>
      </c>
      <c r="H140" s="58">
        <v>138</v>
      </c>
      <c r="I140" s="58"/>
      <c r="J140" s="58"/>
      <c r="AU140" s="106" t="str">
        <f t="shared" ca="1" si="5"/>
        <v/>
      </c>
      <c r="AV140" s="58"/>
    </row>
    <row r="141" spans="6:48" x14ac:dyDescent="0.2">
      <c r="F141" s="58" t="str">
        <f t="shared" ca="1" si="4"/>
        <v/>
      </c>
      <c r="H141" s="58">
        <v>139</v>
      </c>
      <c r="I141" s="58"/>
      <c r="J141" s="58"/>
      <c r="AU141" s="106" t="str">
        <f t="shared" ca="1" si="5"/>
        <v/>
      </c>
      <c r="AV141" s="58"/>
    </row>
    <row r="142" spans="6:48" x14ac:dyDescent="0.2">
      <c r="F142" s="58" t="str">
        <f t="shared" ca="1" si="4"/>
        <v/>
      </c>
      <c r="H142" s="58">
        <v>140</v>
      </c>
      <c r="I142" s="58"/>
      <c r="J142" s="58"/>
      <c r="AU142" s="106" t="str">
        <f t="shared" ca="1" si="5"/>
        <v/>
      </c>
      <c r="AV142" s="58"/>
    </row>
    <row r="143" spans="6:48" x14ac:dyDescent="0.2">
      <c r="F143" s="58" t="str">
        <f t="shared" ca="1" si="4"/>
        <v/>
      </c>
      <c r="H143" s="58">
        <v>141</v>
      </c>
      <c r="I143" s="58"/>
      <c r="J143" s="58"/>
      <c r="AU143" s="106" t="str">
        <f t="shared" ca="1" si="5"/>
        <v/>
      </c>
      <c r="AV143" s="58"/>
    </row>
    <row r="144" spans="6:48" x14ac:dyDescent="0.2">
      <c r="F144" s="58" t="str">
        <f t="shared" ca="1" si="4"/>
        <v/>
      </c>
      <c r="H144" s="58">
        <v>142</v>
      </c>
      <c r="I144" s="58"/>
      <c r="J144" s="58"/>
      <c r="AU144" s="106" t="str">
        <f t="shared" ca="1" si="5"/>
        <v/>
      </c>
      <c r="AV144" s="58"/>
    </row>
    <row r="145" spans="6:48" x14ac:dyDescent="0.2">
      <c r="F145" s="58" t="str">
        <f t="shared" ca="1" si="4"/>
        <v/>
      </c>
      <c r="H145" s="58">
        <v>143</v>
      </c>
      <c r="I145" s="58"/>
      <c r="J145" s="58"/>
      <c r="AU145" s="106" t="str">
        <f t="shared" ca="1" si="5"/>
        <v/>
      </c>
      <c r="AV145" s="58"/>
    </row>
    <row r="146" spans="6:48" x14ac:dyDescent="0.2">
      <c r="F146" s="58" t="str">
        <f t="shared" ca="1" si="4"/>
        <v/>
      </c>
      <c r="H146" s="58">
        <v>144</v>
      </c>
      <c r="I146" s="58"/>
      <c r="J146" s="58"/>
      <c r="AU146" s="106" t="str">
        <f t="shared" ca="1" si="5"/>
        <v/>
      </c>
      <c r="AV146" s="58"/>
    </row>
    <row r="147" spans="6:48" x14ac:dyDescent="0.2">
      <c r="F147" s="58" t="str">
        <f t="shared" ca="1" si="4"/>
        <v/>
      </c>
      <c r="H147" s="58">
        <v>145</v>
      </c>
      <c r="I147" s="58"/>
      <c r="J147" s="58"/>
      <c r="AU147" s="106" t="str">
        <f t="shared" ca="1" si="5"/>
        <v/>
      </c>
      <c r="AV147" s="58"/>
    </row>
    <row r="148" spans="6:48" x14ac:dyDescent="0.2">
      <c r="F148" s="58" t="str">
        <f t="shared" ca="1" si="4"/>
        <v/>
      </c>
      <c r="H148" s="58">
        <v>146</v>
      </c>
      <c r="I148" s="58"/>
      <c r="J148" s="58"/>
      <c r="AU148" s="106" t="str">
        <f t="shared" ca="1" si="5"/>
        <v/>
      </c>
      <c r="AV148" s="58"/>
    </row>
    <row r="149" spans="6:48" x14ac:dyDescent="0.2">
      <c r="F149" s="58" t="str">
        <f t="shared" ca="1" si="4"/>
        <v/>
      </c>
      <c r="H149" s="58">
        <v>147</v>
      </c>
      <c r="I149" s="58"/>
      <c r="J149" s="58"/>
      <c r="AU149" s="106" t="str">
        <f t="shared" ca="1" si="5"/>
        <v/>
      </c>
      <c r="AV149" s="58"/>
    </row>
    <row r="150" spans="6:48" x14ac:dyDescent="0.2">
      <c r="F150" s="58" t="str">
        <f t="shared" ca="1" si="4"/>
        <v/>
      </c>
      <c r="H150" s="58">
        <v>148</v>
      </c>
      <c r="I150" s="58"/>
      <c r="J150" s="58"/>
      <c r="AU150" s="106" t="str">
        <f t="shared" ca="1" si="5"/>
        <v/>
      </c>
      <c r="AV150" s="58"/>
    </row>
    <row r="151" spans="6:48" x14ac:dyDescent="0.2">
      <c r="F151" s="58" t="str">
        <f t="shared" ca="1" si="4"/>
        <v/>
      </c>
      <c r="H151" s="58">
        <v>149</v>
      </c>
      <c r="I151" s="58"/>
      <c r="J151" s="58"/>
      <c r="AU151" s="106" t="str">
        <f t="shared" ca="1" si="5"/>
        <v/>
      </c>
      <c r="AV151" s="58"/>
    </row>
    <row r="152" spans="6:48" x14ac:dyDescent="0.2">
      <c r="F152" s="58" t="str">
        <f t="shared" ca="1" si="4"/>
        <v/>
      </c>
      <c r="H152" s="58">
        <v>150</v>
      </c>
      <c r="I152" s="58"/>
      <c r="J152" s="58"/>
      <c r="AU152" s="106" t="str">
        <f t="shared" ca="1" si="5"/>
        <v/>
      </c>
      <c r="AV152" s="58"/>
    </row>
    <row r="153" spans="6:48" x14ac:dyDescent="0.2">
      <c r="F153" s="58" t="str">
        <f t="shared" ca="1" si="4"/>
        <v/>
      </c>
      <c r="H153" s="58">
        <v>151</v>
      </c>
      <c r="I153" s="58"/>
      <c r="J153" s="58"/>
      <c r="AU153" s="106" t="str">
        <f t="shared" ca="1" si="5"/>
        <v/>
      </c>
      <c r="AV153" s="58"/>
    </row>
    <row r="154" spans="6:48" x14ac:dyDescent="0.2">
      <c r="F154" s="58" t="str">
        <f t="shared" ca="1" si="4"/>
        <v/>
      </c>
      <c r="H154" s="58">
        <v>152</v>
      </c>
      <c r="I154" s="58"/>
      <c r="J154" s="58"/>
      <c r="AU154" s="106" t="str">
        <f t="shared" ca="1" si="5"/>
        <v/>
      </c>
      <c r="AV154" s="58"/>
    </row>
    <row r="155" spans="6:48" x14ac:dyDescent="0.2">
      <c r="F155" s="58" t="str">
        <f t="shared" ca="1" si="4"/>
        <v/>
      </c>
      <c r="H155" s="58">
        <v>153</v>
      </c>
      <c r="I155" s="58"/>
      <c r="J155" s="58"/>
      <c r="AU155" s="106" t="str">
        <f t="shared" ca="1" si="5"/>
        <v/>
      </c>
      <c r="AV155" s="58"/>
    </row>
    <row r="156" spans="6:48" x14ac:dyDescent="0.2">
      <c r="F156" s="58" t="str">
        <f t="shared" ca="1" si="4"/>
        <v/>
      </c>
      <c r="H156" s="58">
        <v>154</v>
      </c>
      <c r="I156" s="58"/>
      <c r="J156" s="58"/>
      <c r="AU156" s="106" t="str">
        <f t="shared" ca="1" si="5"/>
        <v/>
      </c>
      <c r="AV156" s="58"/>
    </row>
    <row r="157" spans="6:48" x14ac:dyDescent="0.2">
      <c r="F157" s="58" t="str">
        <f t="shared" ca="1" si="4"/>
        <v/>
      </c>
      <c r="H157" s="58">
        <v>155</v>
      </c>
      <c r="I157" s="58"/>
      <c r="J157" s="58"/>
      <c r="AU157" s="106" t="str">
        <f t="shared" ca="1" si="5"/>
        <v/>
      </c>
      <c r="AV157" s="58"/>
    </row>
    <row r="158" spans="6:48" x14ac:dyDescent="0.2">
      <c r="F158" s="58" t="str">
        <f t="shared" ca="1" si="4"/>
        <v/>
      </c>
      <c r="H158" s="58">
        <v>156</v>
      </c>
      <c r="I158" s="58"/>
      <c r="J158" s="58"/>
      <c r="AU158" s="106" t="str">
        <f t="shared" ca="1" si="5"/>
        <v/>
      </c>
      <c r="AV158" s="58"/>
    </row>
    <row r="159" spans="6:48" x14ac:dyDescent="0.2">
      <c r="F159" s="58" t="str">
        <f t="shared" ca="1" si="4"/>
        <v/>
      </c>
      <c r="H159" s="58">
        <v>157</v>
      </c>
      <c r="I159" s="58"/>
      <c r="J159" s="58"/>
      <c r="AU159" s="106" t="str">
        <f t="shared" ca="1" si="5"/>
        <v/>
      </c>
      <c r="AV159" s="58"/>
    </row>
    <row r="160" spans="6:48" x14ac:dyDescent="0.2">
      <c r="F160" s="58" t="str">
        <f t="shared" ca="1" si="4"/>
        <v/>
      </c>
      <c r="H160" s="58">
        <v>158</v>
      </c>
      <c r="I160" s="58"/>
      <c r="J160" s="58"/>
      <c r="AU160" s="106" t="str">
        <f t="shared" ca="1" si="5"/>
        <v/>
      </c>
      <c r="AV160" s="58"/>
    </row>
    <row r="161" spans="6:48" x14ac:dyDescent="0.2">
      <c r="F161" s="58" t="str">
        <f t="shared" ca="1" si="4"/>
        <v/>
      </c>
      <c r="H161" s="58">
        <v>159</v>
      </c>
      <c r="I161" s="58"/>
      <c r="J161" s="58"/>
      <c r="AU161" s="106" t="str">
        <f t="shared" ca="1" si="5"/>
        <v/>
      </c>
      <c r="AV161" s="58"/>
    </row>
    <row r="162" spans="6:48" x14ac:dyDescent="0.2">
      <c r="F162" s="58" t="str">
        <f t="shared" ca="1" si="4"/>
        <v/>
      </c>
      <c r="H162" s="58">
        <v>160</v>
      </c>
      <c r="I162" s="58"/>
      <c r="J162" s="58"/>
      <c r="AU162" s="106" t="str">
        <f t="shared" ca="1" si="5"/>
        <v/>
      </c>
      <c r="AV162" s="58"/>
    </row>
    <row r="163" spans="6:48" x14ac:dyDescent="0.2">
      <c r="F163" s="58" t="str">
        <f t="shared" ca="1" si="4"/>
        <v/>
      </c>
      <c r="H163" s="58">
        <v>161</v>
      </c>
      <c r="I163" s="58"/>
      <c r="J163" s="58"/>
      <c r="AU163" s="106" t="str">
        <f t="shared" ca="1" si="5"/>
        <v/>
      </c>
      <c r="AV163" s="58"/>
    </row>
    <row r="164" spans="6:48" x14ac:dyDescent="0.2">
      <c r="F164" s="58" t="str">
        <f t="shared" ca="1" si="4"/>
        <v/>
      </c>
      <c r="H164" s="58">
        <v>162</v>
      </c>
      <c r="I164" s="58"/>
      <c r="J164" s="58"/>
      <c r="AU164" s="106" t="str">
        <f t="shared" ca="1" si="5"/>
        <v/>
      </c>
      <c r="AV164" s="58"/>
    </row>
    <row r="165" spans="6:48" x14ac:dyDescent="0.2">
      <c r="F165" s="58" t="str">
        <f t="shared" ca="1" si="4"/>
        <v/>
      </c>
      <c r="H165" s="58">
        <v>163</v>
      </c>
      <c r="I165" s="58"/>
      <c r="J165" s="58"/>
      <c r="AU165" s="106" t="str">
        <f t="shared" ca="1" si="5"/>
        <v/>
      </c>
      <c r="AV165" s="58"/>
    </row>
    <row r="166" spans="6:48" x14ac:dyDescent="0.2">
      <c r="F166" s="58" t="str">
        <f t="shared" ca="1" si="4"/>
        <v/>
      </c>
      <c r="H166" s="58">
        <v>164</v>
      </c>
      <c r="I166" s="58"/>
      <c r="J166" s="58"/>
      <c r="AU166" s="106" t="str">
        <f t="shared" ca="1" si="5"/>
        <v/>
      </c>
      <c r="AV166" s="58"/>
    </row>
    <row r="167" spans="6:48" x14ac:dyDescent="0.2">
      <c r="F167" s="58" t="str">
        <f t="shared" ca="1" si="4"/>
        <v/>
      </c>
      <c r="H167" s="58">
        <v>165</v>
      </c>
      <c r="I167" s="58"/>
      <c r="J167" s="58"/>
      <c r="AU167" s="106" t="str">
        <f t="shared" ca="1" si="5"/>
        <v/>
      </c>
      <c r="AV167" s="58"/>
    </row>
    <row r="168" spans="6:48" x14ac:dyDescent="0.2">
      <c r="F168" s="58" t="str">
        <f t="shared" ca="1" si="4"/>
        <v/>
      </c>
      <c r="H168" s="58">
        <v>166</v>
      </c>
      <c r="I168" s="58"/>
      <c r="J168" s="58"/>
      <c r="AU168" s="106" t="str">
        <f t="shared" ca="1" si="5"/>
        <v/>
      </c>
      <c r="AV168" s="58"/>
    </row>
    <row r="169" spans="6:48" x14ac:dyDescent="0.2">
      <c r="F169" s="58" t="str">
        <f t="shared" ca="1" si="4"/>
        <v/>
      </c>
      <c r="H169" s="58">
        <v>167</v>
      </c>
      <c r="I169" s="58"/>
      <c r="J169" s="58"/>
      <c r="AU169" s="106" t="str">
        <f t="shared" ca="1" si="5"/>
        <v/>
      </c>
      <c r="AV169" s="58"/>
    </row>
    <row r="170" spans="6:48" x14ac:dyDescent="0.2">
      <c r="F170" s="58" t="str">
        <f t="shared" ca="1" si="4"/>
        <v/>
      </c>
      <c r="H170" s="58">
        <v>168</v>
      </c>
      <c r="I170" s="58"/>
      <c r="J170" s="58"/>
      <c r="AU170" s="106" t="str">
        <f t="shared" ca="1" si="5"/>
        <v/>
      </c>
      <c r="AV170" s="58"/>
    </row>
    <row r="171" spans="6:48" x14ac:dyDescent="0.2">
      <c r="F171" s="58" t="str">
        <f t="shared" ca="1" si="4"/>
        <v/>
      </c>
      <c r="H171" s="58">
        <v>169</v>
      </c>
      <c r="I171" s="58"/>
      <c r="J171" s="58"/>
      <c r="AU171" s="106" t="str">
        <f t="shared" ca="1" si="5"/>
        <v/>
      </c>
      <c r="AV171" s="58"/>
    </row>
    <row r="172" spans="6:48" x14ac:dyDescent="0.2">
      <c r="F172" s="58" t="str">
        <f t="shared" ca="1" si="4"/>
        <v/>
      </c>
      <c r="H172" s="58">
        <v>170</v>
      </c>
      <c r="I172" s="58"/>
      <c r="J172" s="58"/>
      <c r="AU172" s="106" t="str">
        <f t="shared" ca="1" si="5"/>
        <v/>
      </c>
      <c r="AV172" s="58"/>
    </row>
    <row r="173" spans="6:48" x14ac:dyDescent="0.2">
      <c r="F173" s="58" t="str">
        <f t="shared" ca="1" si="4"/>
        <v/>
      </c>
      <c r="H173" s="58">
        <v>171</v>
      </c>
      <c r="I173" s="58"/>
      <c r="J173" s="58"/>
      <c r="AU173" s="106" t="str">
        <f t="shared" ca="1" si="5"/>
        <v/>
      </c>
      <c r="AV173" s="58"/>
    </row>
    <row r="174" spans="6:48" x14ac:dyDescent="0.2">
      <c r="F174" s="58" t="str">
        <f t="shared" ca="1" si="4"/>
        <v/>
      </c>
      <c r="H174" s="58">
        <v>172</v>
      </c>
      <c r="I174" s="58"/>
      <c r="J174" s="58"/>
      <c r="AU174" s="106" t="str">
        <f t="shared" ca="1" si="5"/>
        <v/>
      </c>
      <c r="AV174" s="58"/>
    </row>
    <row r="175" spans="6:48" x14ac:dyDescent="0.2">
      <c r="F175" s="58" t="str">
        <f t="shared" ca="1" si="4"/>
        <v/>
      </c>
      <c r="H175" s="58">
        <v>173</v>
      </c>
      <c r="I175" s="58"/>
      <c r="J175" s="58"/>
      <c r="AU175" s="106" t="str">
        <f t="shared" ca="1" si="5"/>
        <v/>
      </c>
      <c r="AV175" s="58"/>
    </row>
    <row r="176" spans="6:48" x14ac:dyDescent="0.2">
      <c r="F176" s="58" t="str">
        <f t="shared" ca="1" si="4"/>
        <v/>
      </c>
      <c r="H176" s="58">
        <v>174</v>
      </c>
      <c r="I176" s="58"/>
      <c r="J176" s="58"/>
      <c r="AU176" s="106" t="str">
        <f t="shared" ca="1" si="5"/>
        <v/>
      </c>
      <c r="AV176" s="58"/>
    </row>
    <row r="177" spans="6:48" x14ac:dyDescent="0.2">
      <c r="F177" s="58" t="str">
        <f t="shared" ca="1" si="4"/>
        <v/>
      </c>
      <c r="H177" s="58">
        <v>175</v>
      </c>
      <c r="I177" s="58"/>
      <c r="J177" s="58"/>
      <c r="AU177" s="106" t="str">
        <f t="shared" ca="1" si="5"/>
        <v/>
      </c>
      <c r="AV177" s="58"/>
    </row>
    <row r="178" spans="6:48" x14ac:dyDescent="0.2">
      <c r="F178" s="58" t="str">
        <f t="shared" ca="1" si="4"/>
        <v/>
      </c>
      <c r="H178" s="58">
        <v>176</v>
      </c>
      <c r="I178" s="58"/>
      <c r="J178" s="58"/>
      <c r="AU178" s="106" t="str">
        <f t="shared" ca="1" si="5"/>
        <v/>
      </c>
      <c r="AV178" s="58"/>
    </row>
    <row r="179" spans="6:48" x14ac:dyDescent="0.2">
      <c r="F179" s="58" t="str">
        <f t="shared" ca="1" si="4"/>
        <v/>
      </c>
      <c r="H179" s="58">
        <v>177</v>
      </c>
      <c r="I179" s="58"/>
      <c r="J179" s="58"/>
      <c r="AU179" s="106" t="str">
        <f t="shared" ca="1" si="5"/>
        <v/>
      </c>
      <c r="AV179" s="58"/>
    </row>
    <row r="180" spans="6:48" x14ac:dyDescent="0.2">
      <c r="F180" s="58" t="str">
        <f t="shared" ca="1" si="4"/>
        <v/>
      </c>
      <c r="H180" s="58">
        <v>178</v>
      </c>
      <c r="I180" s="58"/>
      <c r="J180" s="58"/>
      <c r="AU180" s="106" t="str">
        <f t="shared" ca="1" si="5"/>
        <v/>
      </c>
      <c r="AV180" s="58"/>
    </row>
    <row r="181" spans="6:48" x14ac:dyDescent="0.2">
      <c r="F181" s="58" t="str">
        <f t="shared" ca="1" si="4"/>
        <v/>
      </c>
      <c r="H181" s="58">
        <v>179</v>
      </c>
      <c r="I181" s="58"/>
      <c r="J181" s="58"/>
      <c r="AU181" s="106" t="str">
        <f t="shared" ca="1" si="5"/>
        <v/>
      </c>
      <c r="AV181" s="58"/>
    </row>
    <row r="182" spans="6:48" x14ac:dyDescent="0.2">
      <c r="F182" s="58" t="str">
        <f t="shared" ca="1" si="4"/>
        <v/>
      </c>
      <c r="H182" s="58">
        <v>180</v>
      </c>
      <c r="I182" s="58"/>
      <c r="J182" s="58"/>
      <c r="AU182" s="106" t="str">
        <f t="shared" ca="1" si="5"/>
        <v/>
      </c>
      <c r="AV182" s="58"/>
    </row>
    <row r="183" spans="6:48" x14ac:dyDescent="0.2">
      <c r="F183" s="58" t="str">
        <f t="shared" ca="1" si="4"/>
        <v/>
      </c>
      <c r="H183" s="58">
        <v>181</v>
      </c>
      <c r="I183" s="58"/>
      <c r="J183" s="58"/>
      <c r="AU183" s="106" t="str">
        <f t="shared" ca="1" si="5"/>
        <v/>
      </c>
      <c r="AV183" s="58"/>
    </row>
    <row r="184" spans="6:48" x14ac:dyDescent="0.2">
      <c r="F184" s="58" t="str">
        <f t="shared" ca="1" si="4"/>
        <v/>
      </c>
      <c r="H184" s="58">
        <v>182</v>
      </c>
      <c r="I184" s="58"/>
      <c r="J184" s="58"/>
      <c r="AU184" s="106" t="str">
        <f t="shared" ca="1" si="5"/>
        <v/>
      </c>
      <c r="AV184" s="58"/>
    </row>
    <row r="185" spans="6:48" x14ac:dyDescent="0.2">
      <c r="F185" s="58" t="str">
        <f t="shared" ca="1" si="4"/>
        <v/>
      </c>
      <c r="H185" s="58">
        <v>183</v>
      </c>
      <c r="I185" s="58"/>
      <c r="J185" s="58"/>
      <c r="AU185" s="106" t="str">
        <f t="shared" ca="1" si="5"/>
        <v/>
      </c>
      <c r="AV185" s="58"/>
    </row>
    <row r="186" spans="6:48" x14ac:dyDescent="0.2">
      <c r="F186" s="58" t="str">
        <f t="shared" ca="1" si="4"/>
        <v/>
      </c>
      <c r="H186" s="58">
        <v>184</v>
      </c>
      <c r="I186" s="58"/>
      <c r="J186" s="58"/>
      <c r="AU186" s="106" t="str">
        <f t="shared" ca="1" si="5"/>
        <v/>
      </c>
      <c r="AV186" s="58"/>
    </row>
    <row r="187" spans="6:48" x14ac:dyDescent="0.2">
      <c r="F187" s="58" t="str">
        <f t="shared" ca="1" si="4"/>
        <v/>
      </c>
      <c r="H187" s="58">
        <v>185</v>
      </c>
      <c r="I187" s="58"/>
      <c r="J187" s="58"/>
      <c r="AU187" s="106" t="str">
        <f t="shared" ca="1" si="5"/>
        <v/>
      </c>
      <c r="AV187" s="58"/>
    </row>
    <row r="188" spans="6:48" x14ac:dyDescent="0.2">
      <c r="F188" s="58" t="str">
        <f t="shared" ca="1" si="4"/>
        <v/>
      </c>
      <c r="H188" s="58">
        <v>186</v>
      </c>
      <c r="I188" s="58"/>
      <c r="J188" s="58"/>
      <c r="AU188" s="106" t="str">
        <f t="shared" ca="1" si="5"/>
        <v/>
      </c>
      <c r="AV188" s="58"/>
    </row>
    <row r="189" spans="6:48" x14ac:dyDescent="0.2">
      <c r="F189" s="58" t="str">
        <f t="shared" ca="1" si="4"/>
        <v/>
      </c>
      <c r="H189" s="58">
        <v>187</v>
      </c>
      <c r="I189" s="58"/>
      <c r="J189" s="58"/>
      <c r="AU189" s="106" t="str">
        <f t="shared" ca="1" si="5"/>
        <v/>
      </c>
      <c r="AV189" s="58"/>
    </row>
    <row r="190" spans="6:48" x14ac:dyDescent="0.2">
      <c r="F190" s="58" t="str">
        <f t="shared" ca="1" si="4"/>
        <v/>
      </c>
      <c r="H190" s="58">
        <v>188</v>
      </c>
      <c r="I190" s="58"/>
      <c r="J190" s="58"/>
      <c r="AU190" s="106" t="str">
        <f t="shared" ca="1" si="5"/>
        <v/>
      </c>
      <c r="AV190" s="58"/>
    </row>
    <row r="191" spans="6:48" x14ac:dyDescent="0.2">
      <c r="F191" s="58" t="str">
        <f t="shared" ca="1" si="4"/>
        <v/>
      </c>
      <c r="H191" s="58">
        <v>189</v>
      </c>
      <c r="I191" s="58"/>
      <c r="J191" s="58"/>
      <c r="AU191" s="106" t="str">
        <f t="shared" ca="1" si="5"/>
        <v/>
      </c>
      <c r="AV191" s="58"/>
    </row>
    <row r="192" spans="6:48" x14ac:dyDescent="0.2">
      <c r="F192" s="58" t="str">
        <f t="shared" ca="1" si="4"/>
        <v/>
      </c>
      <c r="H192" s="58">
        <v>190</v>
      </c>
      <c r="I192" s="58"/>
      <c r="J192" s="58"/>
      <c r="AU192" s="106" t="str">
        <f t="shared" ca="1" si="5"/>
        <v/>
      </c>
      <c r="AV192" s="58"/>
    </row>
    <row r="193" spans="6:48" x14ac:dyDescent="0.2">
      <c r="F193" s="58" t="str">
        <f t="shared" ca="1" si="4"/>
        <v/>
      </c>
      <c r="H193" s="58">
        <v>191</v>
      </c>
      <c r="I193" s="58"/>
      <c r="J193" s="58"/>
      <c r="AU193" s="106" t="str">
        <f t="shared" ca="1" si="5"/>
        <v/>
      </c>
      <c r="AV193" s="58"/>
    </row>
    <row r="194" spans="6:48" x14ac:dyDescent="0.2">
      <c r="F194" s="58" t="str">
        <f t="shared" ca="1" si="4"/>
        <v/>
      </c>
      <c r="H194" s="58">
        <v>192</v>
      </c>
      <c r="I194" s="58"/>
      <c r="J194" s="58"/>
      <c r="AU194" s="106" t="str">
        <f t="shared" ca="1" si="5"/>
        <v/>
      </c>
      <c r="AV194" s="58"/>
    </row>
    <row r="195" spans="6:48" x14ac:dyDescent="0.2">
      <c r="F195" s="58" t="str">
        <f t="shared" ca="1" si="4"/>
        <v/>
      </c>
      <c r="H195" s="58">
        <v>193</v>
      </c>
      <c r="I195" s="58"/>
      <c r="J195" s="58"/>
      <c r="AU195" s="106" t="str">
        <f t="shared" ca="1" si="5"/>
        <v/>
      </c>
      <c r="AV195" s="58"/>
    </row>
    <row r="196" spans="6:48" x14ac:dyDescent="0.2">
      <c r="F196" s="58" t="str">
        <f t="shared" ref="F196:F201" ca="1" si="6">_xlfn.IFNA(IF($H196+1&gt;$G$2,"",INDEX(INDIRECT("SubnetsVLANs!$D$"&amp;$H196+2&amp;":$D$"&amp;$G$2),MATCH("vlan*",INDIRECT("SubnetsVLANs!$E$"&amp;$H196+2&amp;":$E$"&amp;$G$2),0))),"")</f>
        <v/>
      </c>
      <c r="H196" s="58">
        <v>194</v>
      </c>
      <c r="I196" s="58"/>
      <c r="J196" s="58"/>
      <c r="AU196" s="106" t="str">
        <f t="shared" ref="AU196:AU201" ca="1" si="7">_xlfn.IFNA(IF($H196+1&gt;$G$2,"",INDEX(INDIRECT("SubnetsVLANs!$D$"&amp;$H196+2&amp;":$D$"&amp;$G$2),MATCH("Subnet*",INDIRECT("SubnetsVLANs!$E$"&amp;$H196+2&amp;":$E$"&amp;$G$2),0))),"")</f>
        <v/>
      </c>
      <c r="AV196" s="58"/>
    </row>
    <row r="197" spans="6:48" x14ac:dyDescent="0.2">
      <c r="F197" s="58" t="str">
        <f t="shared" ca="1" si="6"/>
        <v/>
      </c>
      <c r="H197" s="58">
        <v>195</v>
      </c>
      <c r="I197" s="58"/>
      <c r="J197" s="58"/>
      <c r="AU197" s="106" t="str">
        <f t="shared" ca="1" si="7"/>
        <v/>
      </c>
      <c r="AV197" s="58"/>
    </row>
    <row r="198" spans="6:48" x14ac:dyDescent="0.2">
      <c r="F198" s="58" t="str">
        <f t="shared" ca="1" si="6"/>
        <v/>
      </c>
      <c r="H198" s="58">
        <v>196</v>
      </c>
      <c r="I198" s="58"/>
      <c r="J198" s="58"/>
      <c r="AU198" s="106" t="str">
        <f t="shared" ca="1" si="7"/>
        <v/>
      </c>
      <c r="AV198" s="58"/>
    </row>
    <row r="199" spans="6:48" x14ac:dyDescent="0.2">
      <c r="F199" s="58" t="str">
        <f t="shared" ca="1" si="6"/>
        <v/>
      </c>
      <c r="H199" s="58">
        <v>197</v>
      </c>
      <c r="I199" s="58"/>
      <c r="J199" s="58"/>
      <c r="AU199" s="106" t="str">
        <f t="shared" ca="1" si="7"/>
        <v/>
      </c>
      <c r="AV199" s="58"/>
    </row>
    <row r="200" spans="6:48" x14ac:dyDescent="0.2">
      <c r="F200" s="58" t="str">
        <f t="shared" ca="1" si="6"/>
        <v/>
      </c>
      <c r="H200" s="58">
        <v>198</v>
      </c>
      <c r="I200" s="58"/>
      <c r="J200" s="58"/>
      <c r="AU200" s="106" t="str">
        <f t="shared" ca="1" si="7"/>
        <v/>
      </c>
      <c r="AV200" s="58"/>
    </row>
    <row r="201" spans="6:48" x14ac:dyDescent="0.2">
      <c r="F201" s="58" t="str">
        <f t="shared" ca="1" si="6"/>
        <v/>
      </c>
      <c r="H201" s="58">
        <v>199</v>
      </c>
      <c r="I201" s="58"/>
      <c r="J201" s="58"/>
      <c r="AU201" s="106" t="str">
        <f t="shared" ca="1" si="7"/>
        <v/>
      </c>
      <c r="AV201" s="58"/>
    </row>
    <row r="202" spans="6:48" x14ac:dyDescent="0.2">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x14ac:dyDescent="0.2"/>
  <cols>
    <col min="1" max="1" width="10.1640625" style="64" bestFit="1" customWidth="1"/>
    <col min="2" max="2" width="24" style="64" customWidth="1"/>
    <col min="3" max="4" width="20.1640625" style="33" customWidth="1"/>
  </cols>
  <sheetData>
    <row r="1" spans="1:4" ht="30" x14ac:dyDescent="0.2">
      <c r="A1" s="56" t="s">
        <v>649</v>
      </c>
      <c r="B1" s="56" t="s">
        <v>703</v>
      </c>
      <c r="C1" s="56" t="s">
        <v>1012</v>
      </c>
      <c r="D1" s="56" t="s">
        <v>1046</v>
      </c>
    </row>
    <row r="2" spans="1:4" x14ac:dyDescent="0.2">
      <c r="A2" s="58"/>
      <c r="B2" s="58" t="s">
        <v>394</v>
      </c>
      <c r="C2" s="33">
        <f>MATCH("&lt;END&gt;",Compartments!$A$2:$A$1000,0)</f>
        <v>6</v>
      </c>
      <c r="D2" s="33" t="str" cm="1">
        <f t="array" aca="1" ref="D2:D6" ca="1">_xlfn.UNIQUE(INDIRECT("B2:B"&amp;$C$2),FALSE,FALSE)</f>
        <v>root</v>
      </c>
    </row>
    <row r="3" spans="1:4" x14ac:dyDescent="0.2">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Bhanu Prakash Lohumi</cp:lastModifiedBy>
  <dcterms:created xsi:type="dcterms:W3CDTF">2006-09-16T00:00:00Z</dcterms:created>
  <dcterms:modified xsi:type="dcterms:W3CDTF">2025-09-30T11:18:30Z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